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e0fdd4c43b590a3/Documentos/Santander-dados com python/"/>
    </mc:Choice>
  </mc:AlternateContent>
  <xr:revisionPtr revIDLastSave="0" documentId="8_{561F970B-D9DB-4D05-8D57-A66C953C1045}" xr6:coauthVersionLast="47" xr6:coauthVersionMax="47" xr10:uidLastSave="{00000000-0000-0000-0000-000000000000}"/>
  <bookViews>
    <workbookView xWindow="-108" yWindow="-108" windowWidth="23256" windowHeight="12456" tabRatio="374" firstSheet="1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<sst xmlns="http://schemas.openxmlformats.org/spreadsheetml/2006/main" count="2038" uniqueCount="337">
  <si>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</si>
  <si>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</si>
  <si>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</si>
  <si>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</si>
  <si>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</si>
  <si>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</si>
  <si>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</si>
  <si>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</si>
  <si>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</si>
  <si>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</si>
  <si>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</si>
  <si>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</si>
  <si>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</si>
  <si>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</si>
  <si>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</si>
  <si>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</si>
  <si>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</si>
  <si>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</si>
  <si>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</si>
  <si>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</si>
  <si>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</si>
  <si>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</si>
  <si>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</si>
  <si>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</si>
  <si>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</si>
  <si>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</si>
  <si>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</si>
  <si>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</si>
  <si>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</si>
  <si>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</si>
  <si>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</si>
  <si>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</si>
  <si>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</si>
  <si>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</si>
  <si>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</si>
  <si>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</si>
  <si>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</si>
  <si>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</si>
  <si>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</si>
  <si>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</si>
  <si>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</si>
  <si>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</si>
  <si>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</si>
  <si>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</si>
  <si>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</si>
  <si>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</si>
  <si>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</si>
  <si>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</si>
  <si>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</si>
  <si>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</si>
  <si>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</si>
  <si>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</si>
  <si>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</si>
  <si>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</si>
  <si>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</si>
  <si>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</si>
  <si>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</si>
  <si>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</si>
  <si>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</si>
  <si>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</si>
  <si>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</si>
  <si>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</si>
  <si>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</si>
  <si>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</si>
  <si>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</si>
  <si>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</si>
  <si>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</si>
  <si>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</si>
  <si>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</si>
  <si>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</si>
  <si>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</si>
  <si>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</si>
  <si>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</si>
  <si>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</si>
  <si>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</si>
  <si>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</si>
  <si>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</si>
  <si>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</si>
  <si>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</si>
  <si>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</si>
  <si>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</si>
  <si>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</si>
  <si>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</si>
  <si>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</si>
  <si>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</si>
  <si>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</si>
  <si>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</si>
  <si>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</si>
  <si>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</si>
  <si>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</si>
  <si>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</si>
  <si>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</si>
  <si>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</si>
  <si>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</si>
  <si>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</si>
  <si>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</si>
  <si>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</si>
  <si>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</si>
  <si>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</si>
  <si>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</si>
  <si>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</si>
  <si>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</si>
  <si>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</si>
  <si>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</si>
  <si>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</si>
  <si>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</si>
  <si>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</si>
  <si>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</si>
  <si>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</si>
  <si>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</si>
  <si>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</si>
  <si>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</si>
  <si>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</si>
  <si>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</si>
  <si>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</si>
  <si>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</si>
  <si>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</si>
  <si>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</si>
  <si>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</si>
  <si>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</si>
  <si>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</si>
  <si>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</si>
  <si>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</si>
  <si>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</si>
  <si>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</si>
  <si>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</si>
  <si>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</si>
  <si>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</si>
  <si>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</si>
  <si>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</si>
  <si>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</si>
  <si>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</si>
  <si>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</si>
  <si>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</si>
  <si>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</si>
  <si>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</si>
  <si>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</si>
  <si>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</si>
  <si>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</si>
  <si>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</si>
  <si>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</si>
  <si>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</si>
  <si>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</si>
  <si>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</si>
  <si>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</si>
  <si>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</si>
  <si>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</si>
  <si>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</si>
  <si>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</si>
  <si>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</si>
  <si>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</si>
  <si>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</si>
  <si>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</si>
  <si>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</si>
  <si>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</si>
  <si>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</si>
  <si>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</si>
  <si>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</si>
  <si>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</si>
  <si>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</si>
  <si>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</si>
  <si>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</si>
  <si>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</si>
  <si>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</si>
  <si>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</si>
  <si>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</si>
  <si>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</si>
  <si>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</si>
  <si>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</si>
  <si>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</si>
  <si>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</si>
  <si>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</si>
  <si>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</si>
  <si>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</si>
  <si>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</si>
  <si>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</si>
  <si>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</si>
  <si>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</si>
  <si>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</si>
  <si>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</si>
  <si>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</si>
  <si>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</si>
  <si>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</si>
  <si>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</si>
  <si>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</si>
  <si>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</si>
  <si>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</si>
  <si>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</si>
  <si>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</si>
  <si>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</si>
  <si>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</si>
  <si>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</si>
  <si>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</si>
  <si>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</si>
  <si>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</si>
  <si>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</si>
  <si>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</si>
  <si>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</si>
  <si>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</si>
  <si>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</si>
  <si>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</si>
  <si>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</si>
  <si>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</si>
  <si>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</si>
  <si>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</si>
  <si>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</si>
  <si>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</si>
  <si>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</si>
  <si>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</si>
  <si>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</si>
  <si>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</si>
  <si>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</si>
  <si>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</si>
  <si>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</si>
  <si>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</si>
  <si>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</si>
  <si>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</si>
  <si>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</si>
  <si>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</si>
  <si>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</si>
  <si>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</si>
  <si>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</si>
  <si>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</si>
  <si>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</si>
  <si>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</si>
  <si>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</si>
  <si>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</si>
  <si>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</si>
  <si>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</si>
  <si>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</si>
  <si>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</si>
  <si>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</si>
  <si>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</si>
  <si>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</si>
  <si>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</si>
  <si>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</si>
  <si>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</si>
  <si>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</si>
  <si>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</si>
  <si>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</si>
  <si>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</si>
  <si>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</si>
  <si>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</si>
  <si>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</si>
  <si>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</si>
  <si>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</si>
  <si>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</si>
  <si>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</si>
  <si>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</si>
  <si>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</si>
  <si>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</si>
  <si>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</si>
  <si>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</si>
  <si>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</si>
  <si>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</si>
  <si>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</si>
  <si>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</si>
  <si>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</si>
  <si>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</si>
  <si>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</si>
  <si>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</si>
  <si>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</si>
  <si>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</si>
  <si>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</si>
  <si>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</si>
  <si>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</si>
  <si>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</si>
  <si>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</si>
  <si>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</si>
  <si>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</si>
  <si>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</si>
  <si>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</si>
  <si>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</si>
  <si>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</si>
  <si>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</si>
  <si>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</si>
  <si>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</si>
  <si>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</si>
  <si>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</si>
  <si>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</si>
  <si>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</si>
  <si>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</si>
  <si>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</si>
  <si>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</si>
  <si>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</si>
  <si>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</si>
  <si>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</si>
  <si>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</si>
  <si>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</si>
  <si>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</si>
  <si>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</si>
  <si>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</si>
  <si>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</si>
  <si>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</si>
  <si>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</si>
  <si>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</si>
  <si>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</si>
  <si>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</si>
  <si>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</si>
  <si>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</si>
  <si>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</si>
  <si>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</si>
  <si>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</si>
  <si>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</si>
  <si>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</si>
  <si>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</si>
  <si>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</si>
  <si>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</si>
  <si>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</si>
  <si>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</si>
  <si>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</si>
  <si>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</si>
  <si>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</si>
  <si>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</si>
  <si>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</si>
  <si>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</si>
  <si>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</si>
  <si>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</si>
  <si>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</si>
  <si>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</si>
  <si>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</si>
  <si>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</si>
  <si>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</si>
  <si>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</si>
  <si>
    <t>Pergunta Negocio 5 - Total de vendas por mês.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</si>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</sst>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  <xf numFmtId="0" fontId="0" fillId="0" borderId="0" xfId="0" applyNumberFormat="1"/>
    <xf numFmtId="164" fontId="0" fillId="0" borderId="0" xfId="0" applyNumberFormat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12"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11"/>
      <tableStyleElement type="headerRow" dxfId="110"/>
    </tableStyle>
  </tableStyles>
  <colors>
    <mruColors>
      <color rgb="FF2AE6B1"/>
      <color rgb="FF22C55E"/>
      <color rgb="FF5BF6A8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[desafio_dashboard_Xbox.xlsx]C̳álculos!Tabela dinâmica1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C̳álculos!$C$41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C̳álculos!$B$42:$B$54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C̳álculos!$C$42:$C$54</c:f>
              <c:numCache>
                <c:formatCode>"R$"\ #,##0.00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D8-4A20-BABC-D5CC4CF36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8592735"/>
        <c:axId val="1188593215"/>
      </c:barChart>
      <c:catAx>
        <c:axId val="1188592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8593215"/>
        <c:crosses val="autoZero"/>
        <c:auto val="1"/>
        <c:lblAlgn val="ctr"/>
        <c:lblOffset val="100"/>
        <c:noMultiLvlLbl val="0"/>
      </c:catAx>
      <c:valAx>
        <c:axId val="118859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859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[desafio_dashboard_Xbox.xlsx]C̳álculos!tbl_annual_total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[desafio_dashboard_Xbox.xlsx]C̳álculos!Tabela dinâmica1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C̳álculos!$C$41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cat>
            <c:strRef>
              <c:f>C̳álculos!$B$42:$B$54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C̳álculos!$C$42:$C$54</c:f>
              <c:numCache>
                <c:formatCode>"R$"\ #,##0.00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01-45D6-96E3-E5886B899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8592735"/>
        <c:axId val="1188593215"/>
      </c:barChart>
      <c:catAx>
        <c:axId val="1188592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8593215"/>
        <c:crosses val="autoZero"/>
        <c:auto val="1"/>
        <c:lblAlgn val="ctr"/>
        <c:lblOffset val="100"/>
        <c:noMultiLvlLbl val="0"/>
      </c:catAx>
      <c:valAx>
        <c:axId val="118859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859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.xml"/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2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525780</xdr:colOff>
      <xdr:row>37</xdr:row>
      <xdr:rowOff>179070</xdr:rowOff>
    </xdr:from>
    <xdr:to>
      <xdr:col>6</xdr:col>
      <xdr:colOff>1501140</xdr:colOff>
      <xdr:row>52</xdr:row>
      <xdr:rowOff>179070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80CB985-260D-C870-016B-1117F0D1A6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23813</xdr:colOff>
      <xdr:row>6</xdr:row>
      <xdr:rowOff>61912</xdr:rowOff>
    </xdr:from>
    <xdr:to>
      <xdr:col>8</xdr:col>
      <xdr:colOff>518161</xdr:colOff>
      <xdr:row>16</xdr:row>
      <xdr:rowOff>129539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149793" y="1159192"/>
          <a:ext cx="4151948" cy="1782127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R$ 990,00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9</xdr:col>
      <xdr:colOff>141447</xdr:colOff>
      <xdr:row>6</xdr:row>
      <xdr:rowOff>69532</xdr:rowOff>
    </xdr:from>
    <xdr:to>
      <xdr:col>17</xdr:col>
      <xdr:colOff>99061</xdr:colOff>
      <xdr:row>16</xdr:row>
      <xdr:rowOff>53339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6534627" y="1166812"/>
          <a:ext cx="4674394" cy="1698307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R$ 1.140,00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16</xdr:row>
      <xdr:rowOff>175260</xdr:rowOff>
    </xdr:from>
    <xdr:to>
      <xdr:col>17</xdr:col>
      <xdr:colOff>99060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137886" y="2987040"/>
          <a:ext cx="9071134" cy="3259455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966094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01/04/2026| Update date21/04/2026 09:00:00</a:t>
          </a:r>
        </a:p>
      </xdr:txBody>
    </xdr:sp>
    <xdr:clientData/>
  </xdr:twoCellAnchor>
  <xdr:twoCellAnchor editAs="absolute">
    <xdr:from>
      <xdr:col>2</xdr:col>
      <xdr:colOff>0</xdr:colOff>
      <xdr:row>36</xdr:row>
      <xdr:rowOff>0</xdr:rowOff>
    </xdr:from>
    <xdr:to>
      <xdr:col>17</xdr:col>
      <xdr:colOff>243840</xdr:colOff>
      <xdr:row>53</xdr:row>
      <xdr:rowOff>99060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5698C4C-B9DC-42B6-BFE7-EDEE5DFD59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x v="0"/>
    <x v="0"/>
    <n v="15"/>
    <x v="0"/>
    <s v="Yes"/>
    <x v="0"/>
    <s v="Yes"/>
    <n v="20"/>
    <n v="5"/>
    <n v="60"/>
  </r>
  <r>
    <n v="3232"/>
    <x v="1"/>
    <x v="1"/>
    <x v="1"/>
    <x v="1"/>
    <n v="5"/>
    <x v="1"/>
    <s v="No"/>
    <x v="1"/>
    <s v="No"/>
    <n v="0"/>
    <n v="0"/>
    <n v="5"/>
  </r>
  <r>
    <n v="3233"/>
    <x v="2"/>
    <x v="2"/>
    <x v="2"/>
    <x v="0"/>
    <n v="10"/>
    <x v="2"/>
    <s v="No"/>
    <x v="1"/>
    <s v="Yes"/>
    <n v="20"/>
    <n v="10"/>
    <n v="20"/>
  </r>
  <r>
    <n v="3234"/>
    <x v="3"/>
    <x v="0"/>
    <x v="3"/>
    <x v="1"/>
    <n v="15"/>
    <x v="0"/>
    <s v="Yes"/>
    <x v="0"/>
    <s v="Yes"/>
    <n v="20"/>
    <n v="3"/>
    <n v="62"/>
  </r>
  <r>
    <n v="3235"/>
    <x v="4"/>
    <x v="1"/>
    <x v="4"/>
    <x v="0"/>
    <n v="5"/>
    <x v="0"/>
    <s v="No"/>
    <x v="1"/>
    <s v="No"/>
    <n v="0"/>
    <n v="1"/>
    <n v="4"/>
  </r>
  <r>
    <n v="3236"/>
    <x v="5"/>
    <x v="2"/>
    <x v="5"/>
    <x v="1"/>
    <n v="10"/>
    <x v="0"/>
    <s v="No"/>
    <x v="1"/>
    <s v="Yes"/>
    <n v="20"/>
    <n v="2"/>
    <n v="28"/>
  </r>
  <r>
    <n v="3237"/>
    <x v="6"/>
    <x v="0"/>
    <x v="6"/>
    <x v="0"/>
    <n v="15"/>
    <x v="2"/>
    <s v="Yes"/>
    <x v="0"/>
    <s v="Yes"/>
    <n v="20"/>
    <n v="10"/>
    <n v="55"/>
  </r>
  <r>
    <n v="3238"/>
    <x v="7"/>
    <x v="1"/>
    <x v="7"/>
    <x v="0"/>
    <n v="5"/>
    <x v="1"/>
    <s v="No"/>
    <x v="1"/>
    <s v="No"/>
    <n v="0"/>
    <n v="0"/>
    <n v="5"/>
  </r>
  <r>
    <n v="3239"/>
    <x v="8"/>
    <x v="0"/>
    <x v="4"/>
    <x v="1"/>
    <n v="15"/>
    <x v="0"/>
    <s v="Yes"/>
    <x v="0"/>
    <s v="Yes"/>
    <n v="20"/>
    <n v="5"/>
    <n v="60"/>
  </r>
  <r>
    <n v="3240"/>
    <x v="9"/>
    <x v="2"/>
    <x v="8"/>
    <x v="0"/>
    <n v="10"/>
    <x v="2"/>
    <s v="No"/>
    <x v="1"/>
    <s v="Yes"/>
    <n v="20"/>
    <n v="15"/>
    <n v="15"/>
  </r>
  <r>
    <n v="3241"/>
    <x v="10"/>
    <x v="1"/>
    <x v="9"/>
    <x v="1"/>
    <n v="5"/>
    <x v="0"/>
    <s v="No"/>
    <x v="1"/>
    <s v="No"/>
    <n v="0"/>
    <n v="1"/>
    <n v="4"/>
  </r>
  <r>
    <n v="3242"/>
    <x v="11"/>
    <x v="0"/>
    <x v="10"/>
    <x v="0"/>
    <n v="15"/>
    <x v="1"/>
    <s v="Yes"/>
    <x v="0"/>
    <s v="Yes"/>
    <n v="20"/>
    <n v="20"/>
    <n v="45"/>
  </r>
  <r>
    <n v="3243"/>
    <x v="12"/>
    <x v="2"/>
    <x v="11"/>
    <x v="1"/>
    <n v="10"/>
    <x v="0"/>
    <s v="No"/>
    <x v="1"/>
    <s v="Yes"/>
    <n v="20"/>
    <n v="10"/>
    <n v="20"/>
  </r>
  <r>
    <n v="3244"/>
    <x v="13"/>
    <x v="1"/>
    <x v="12"/>
    <x v="0"/>
    <n v="5"/>
    <x v="2"/>
    <s v="No"/>
    <x v="1"/>
    <s v="No"/>
    <n v="0"/>
    <n v="0"/>
    <n v="5"/>
  </r>
  <r>
    <n v="3245"/>
    <x v="14"/>
    <x v="0"/>
    <x v="13"/>
    <x v="1"/>
    <n v="15"/>
    <x v="0"/>
    <s v="Yes"/>
    <x v="0"/>
    <s v="Yes"/>
    <n v="20"/>
    <n v="8"/>
    <n v="57"/>
  </r>
  <r>
    <n v="3246"/>
    <x v="15"/>
    <x v="2"/>
    <x v="14"/>
    <x v="0"/>
    <n v="10"/>
    <x v="1"/>
    <s v="No"/>
    <x v="1"/>
    <s v="Yes"/>
    <n v="20"/>
    <n v="12"/>
    <n v="18"/>
  </r>
  <r>
    <n v="3247"/>
    <x v="16"/>
    <x v="1"/>
    <x v="15"/>
    <x v="1"/>
    <n v="5"/>
    <x v="0"/>
    <s v="No"/>
    <x v="1"/>
    <s v="No"/>
    <n v="0"/>
    <n v="2"/>
    <n v="3"/>
  </r>
  <r>
    <n v="3248"/>
    <x v="17"/>
    <x v="0"/>
    <x v="16"/>
    <x v="0"/>
    <n v="15"/>
    <x v="2"/>
    <s v="Yes"/>
    <x v="0"/>
    <s v="Yes"/>
    <n v="20"/>
    <n v="7"/>
    <n v="58"/>
  </r>
  <r>
    <n v="3249"/>
    <x v="18"/>
    <x v="2"/>
    <x v="17"/>
    <x v="1"/>
    <n v="10"/>
    <x v="0"/>
    <s v="No"/>
    <x v="1"/>
    <s v="Yes"/>
    <n v="20"/>
    <n v="5"/>
    <n v="25"/>
  </r>
  <r>
    <n v="3250"/>
    <x v="19"/>
    <x v="1"/>
    <x v="18"/>
    <x v="0"/>
    <n v="5"/>
    <x v="1"/>
    <s v="No"/>
    <x v="1"/>
    <s v="No"/>
    <n v="0"/>
    <n v="0"/>
    <n v="5"/>
  </r>
  <r>
    <n v="3251"/>
    <x v="20"/>
    <x v="0"/>
    <x v="19"/>
    <x v="1"/>
    <n v="15"/>
    <x v="0"/>
    <s v="Yes"/>
    <x v="0"/>
    <s v="Yes"/>
    <n v="20"/>
    <n v="3"/>
    <n v="62"/>
  </r>
  <r>
    <n v="3252"/>
    <x v="21"/>
    <x v="2"/>
    <x v="20"/>
    <x v="0"/>
    <n v="10"/>
    <x v="2"/>
    <s v="No"/>
    <x v="1"/>
    <s v="Yes"/>
    <n v="20"/>
    <n v="15"/>
    <n v="15"/>
  </r>
  <r>
    <n v="3253"/>
    <x v="22"/>
    <x v="1"/>
    <x v="21"/>
    <x v="1"/>
    <n v="5"/>
    <x v="0"/>
    <s v="No"/>
    <x v="1"/>
    <s v="No"/>
    <n v="0"/>
    <n v="1"/>
    <n v="4"/>
  </r>
  <r>
    <n v="3254"/>
    <x v="23"/>
    <x v="0"/>
    <x v="22"/>
    <x v="0"/>
    <n v="15"/>
    <x v="1"/>
    <s v="Yes"/>
    <x v="0"/>
    <s v="Yes"/>
    <n v="20"/>
    <n v="20"/>
    <n v="45"/>
  </r>
  <r>
    <n v="3255"/>
    <x v="24"/>
    <x v="2"/>
    <x v="23"/>
    <x v="1"/>
    <n v="10"/>
    <x v="0"/>
    <s v="No"/>
    <x v="1"/>
    <s v="Yes"/>
    <n v="20"/>
    <n v="10"/>
    <n v="20"/>
  </r>
  <r>
    <n v="3256"/>
    <x v="25"/>
    <x v="1"/>
    <x v="24"/>
    <x v="0"/>
    <n v="5"/>
    <x v="2"/>
    <s v="No"/>
    <x v="1"/>
    <s v="No"/>
    <n v="0"/>
    <n v="0"/>
    <n v="5"/>
  </r>
  <r>
    <n v="3257"/>
    <x v="26"/>
    <x v="0"/>
    <x v="25"/>
    <x v="1"/>
    <n v="15"/>
    <x v="0"/>
    <s v="Yes"/>
    <x v="0"/>
    <s v="Yes"/>
    <n v="20"/>
    <n v="5"/>
    <n v="60"/>
  </r>
  <r>
    <n v="3258"/>
    <x v="27"/>
    <x v="2"/>
    <x v="26"/>
    <x v="0"/>
    <n v="10"/>
    <x v="1"/>
    <s v="No"/>
    <x v="1"/>
    <s v="Yes"/>
    <n v="20"/>
    <n v="15"/>
    <n v="15"/>
  </r>
  <r>
    <n v="3259"/>
    <x v="28"/>
    <x v="1"/>
    <x v="27"/>
    <x v="1"/>
    <n v="5"/>
    <x v="0"/>
    <s v="No"/>
    <x v="1"/>
    <s v="No"/>
    <n v="0"/>
    <n v="1"/>
    <n v="4"/>
  </r>
  <r>
    <n v="3260"/>
    <x v="29"/>
    <x v="0"/>
    <x v="28"/>
    <x v="0"/>
    <n v="15"/>
    <x v="2"/>
    <s v="Yes"/>
    <x v="0"/>
    <s v="Yes"/>
    <n v="20"/>
    <n v="7"/>
    <n v="58"/>
  </r>
  <r>
    <n v="3261"/>
    <x v="30"/>
    <x v="2"/>
    <x v="29"/>
    <x v="1"/>
    <n v="10"/>
    <x v="0"/>
    <s v="No"/>
    <x v="1"/>
    <s v="Yes"/>
    <n v="20"/>
    <n v="10"/>
    <n v="20"/>
  </r>
  <r>
    <n v="3262"/>
    <x v="31"/>
    <x v="1"/>
    <x v="30"/>
    <x v="0"/>
    <n v="5"/>
    <x v="1"/>
    <s v="No"/>
    <x v="1"/>
    <s v="No"/>
    <n v="0"/>
    <n v="0"/>
    <n v="5"/>
  </r>
  <r>
    <n v="3263"/>
    <x v="32"/>
    <x v="0"/>
    <x v="31"/>
    <x v="1"/>
    <n v="15"/>
    <x v="0"/>
    <s v="Yes"/>
    <x v="0"/>
    <s v="Yes"/>
    <n v="20"/>
    <n v="3"/>
    <n v="62"/>
  </r>
  <r>
    <n v="3264"/>
    <x v="33"/>
    <x v="2"/>
    <x v="32"/>
    <x v="0"/>
    <n v="10"/>
    <x v="2"/>
    <s v="No"/>
    <x v="1"/>
    <s v="Yes"/>
    <n v="20"/>
    <n v="15"/>
    <n v="15"/>
  </r>
  <r>
    <n v="3265"/>
    <x v="34"/>
    <x v="1"/>
    <x v="33"/>
    <x v="1"/>
    <n v="5"/>
    <x v="0"/>
    <s v="No"/>
    <x v="1"/>
    <s v="No"/>
    <n v="0"/>
    <n v="1"/>
    <n v="4"/>
  </r>
  <r>
    <n v="3266"/>
    <x v="35"/>
    <x v="1"/>
    <x v="34"/>
    <x v="0"/>
    <n v="5"/>
    <x v="0"/>
    <s v="No"/>
    <x v="1"/>
    <s v="No"/>
    <n v="0"/>
    <n v="0"/>
    <n v="5"/>
  </r>
  <r>
    <n v="3267"/>
    <x v="36"/>
    <x v="0"/>
    <x v="35"/>
    <x v="1"/>
    <n v="15"/>
    <x v="2"/>
    <s v="Yes"/>
    <x v="0"/>
    <s v="Yes"/>
    <n v="20"/>
    <n v="7"/>
    <n v="58"/>
  </r>
  <r>
    <n v="3268"/>
    <x v="37"/>
    <x v="2"/>
    <x v="36"/>
    <x v="0"/>
    <n v="10"/>
    <x v="1"/>
    <s v="No"/>
    <x v="1"/>
    <s v="Yes"/>
    <n v="20"/>
    <n v="10"/>
    <n v="20"/>
  </r>
  <r>
    <n v="3269"/>
    <x v="38"/>
    <x v="1"/>
    <x v="37"/>
    <x v="1"/>
    <n v="5"/>
    <x v="2"/>
    <s v="No"/>
    <x v="1"/>
    <s v="No"/>
    <n v="0"/>
    <n v="1"/>
    <n v="4"/>
  </r>
  <r>
    <n v="3270"/>
    <x v="39"/>
    <x v="0"/>
    <x v="38"/>
    <x v="0"/>
    <n v="15"/>
    <x v="0"/>
    <s v="Yes"/>
    <x v="0"/>
    <s v="Yes"/>
    <n v="20"/>
    <n v="15"/>
    <n v="50"/>
  </r>
  <r>
    <n v="3271"/>
    <x v="40"/>
    <x v="2"/>
    <x v="39"/>
    <x v="1"/>
    <n v="10"/>
    <x v="0"/>
    <s v="No"/>
    <x v="1"/>
    <s v="Yes"/>
    <n v="20"/>
    <n v="5"/>
    <n v="25"/>
  </r>
  <r>
    <n v="3272"/>
    <x v="41"/>
    <x v="1"/>
    <x v="40"/>
    <x v="0"/>
    <n v="5"/>
    <x v="1"/>
    <s v="No"/>
    <x v="1"/>
    <s v="No"/>
    <n v="0"/>
    <n v="0"/>
    <n v="5"/>
  </r>
  <r>
    <n v="3273"/>
    <x v="42"/>
    <x v="0"/>
    <x v="41"/>
    <x v="1"/>
    <n v="15"/>
    <x v="2"/>
    <s v="Yes"/>
    <x v="0"/>
    <s v="Yes"/>
    <n v="20"/>
    <n v="20"/>
    <n v="45"/>
  </r>
  <r>
    <n v="3274"/>
    <x v="43"/>
    <x v="2"/>
    <x v="42"/>
    <x v="0"/>
    <n v="10"/>
    <x v="2"/>
    <s v="No"/>
    <x v="1"/>
    <s v="Yes"/>
    <n v="20"/>
    <n v="12"/>
    <n v="18"/>
  </r>
  <r>
    <n v="3275"/>
    <x v="44"/>
    <x v="1"/>
    <x v="43"/>
    <x v="1"/>
    <n v="5"/>
    <x v="0"/>
    <s v="No"/>
    <x v="1"/>
    <s v="No"/>
    <n v="0"/>
    <n v="2"/>
    <n v="3"/>
  </r>
  <r>
    <n v="3276"/>
    <x v="45"/>
    <x v="0"/>
    <x v="44"/>
    <x v="0"/>
    <n v="15"/>
    <x v="1"/>
    <s v="Yes"/>
    <x v="0"/>
    <s v="Yes"/>
    <n v="20"/>
    <n v="5"/>
    <n v="60"/>
  </r>
  <r>
    <n v="3277"/>
    <x v="46"/>
    <x v="2"/>
    <x v="45"/>
    <x v="1"/>
    <n v="10"/>
    <x v="0"/>
    <s v="No"/>
    <x v="1"/>
    <s v="Yes"/>
    <n v="20"/>
    <n v="10"/>
    <n v="20"/>
  </r>
  <r>
    <n v="3278"/>
    <x v="47"/>
    <x v="1"/>
    <x v="46"/>
    <x v="0"/>
    <n v="5"/>
    <x v="2"/>
    <s v="No"/>
    <x v="1"/>
    <s v="No"/>
    <n v="0"/>
    <n v="0"/>
    <n v="5"/>
  </r>
  <r>
    <n v="3279"/>
    <x v="48"/>
    <x v="0"/>
    <x v="47"/>
    <x v="1"/>
    <n v="15"/>
    <x v="0"/>
    <s v="Yes"/>
    <x v="0"/>
    <s v="Yes"/>
    <n v="20"/>
    <n v="3"/>
    <n v="62"/>
  </r>
  <r>
    <n v="3280"/>
    <x v="49"/>
    <x v="2"/>
    <x v="48"/>
    <x v="0"/>
    <n v="10"/>
    <x v="1"/>
    <s v="No"/>
    <x v="1"/>
    <s v="Yes"/>
    <n v="20"/>
    <n v="15"/>
    <n v="15"/>
  </r>
  <r>
    <n v="3281"/>
    <x v="50"/>
    <x v="1"/>
    <x v="49"/>
    <x v="1"/>
    <n v="5"/>
    <x v="0"/>
    <s v="No"/>
    <x v="1"/>
    <s v="No"/>
    <n v="0"/>
    <n v="1"/>
    <n v="4"/>
  </r>
  <r>
    <n v="3282"/>
    <x v="51"/>
    <x v="0"/>
    <x v="50"/>
    <x v="0"/>
    <n v="15"/>
    <x v="2"/>
    <s v="Yes"/>
    <x v="0"/>
    <s v="Yes"/>
    <n v="20"/>
    <n v="7"/>
    <n v="58"/>
  </r>
  <r>
    <n v="3283"/>
    <x v="52"/>
    <x v="2"/>
    <x v="51"/>
    <x v="1"/>
    <n v="10"/>
    <x v="0"/>
    <s v="No"/>
    <x v="1"/>
    <s v="Yes"/>
    <n v="20"/>
    <n v="10"/>
    <n v="20"/>
  </r>
  <r>
    <n v="3284"/>
    <x v="53"/>
    <x v="1"/>
    <x v="52"/>
    <x v="0"/>
    <n v="5"/>
    <x v="1"/>
    <s v="No"/>
    <x v="1"/>
    <s v="No"/>
    <n v="0"/>
    <n v="0"/>
    <n v="5"/>
  </r>
  <r>
    <n v="3285"/>
    <x v="54"/>
    <x v="0"/>
    <x v="53"/>
    <x v="1"/>
    <n v="15"/>
    <x v="0"/>
    <s v="Yes"/>
    <x v="0"/>
    <s v="Yes"/>
    <n v="20"/>
    <n v="20"/>
    <n v="45"/>
  </r>
  <r>
    <n v="3286"/>
    <x v="55"/>
    <x v="2"/>
    <x v="54"/>
    <x v="0"/>
    <n v="10"/>
    <x v="2"/>
    <s v="No"/>
    <x v="1"/>
    <s v="Yes"/>
    <n v="20"/>
    <n v="15"/>
    <n v="15"/>
  </r>
  <r>
    <n v="3287"/>
    <x v="56"/>
    <x v="1"/>
    <x v="55"/>
    <x v="1"/>
    <n v="5"/>
    <x v="0"/>
    <s v="No"/>
    <x v="1"/>
    <s v="No"/>
    <n v="0"/>
    <n v="1"/>
    <n v="4"/>
  </r>
  <r>
    <n v="3288"/>
    <x v="57"/>
    <x v="0"/>
    <x v="56"/>
    <x v="0"/>
    <n v="15"/>
    <x v="1"/>
    <s v="Yes"/>
    <x v="0"/>
    <s v="Yes"/>
    <n v="20"/>
    <n v="3"/>
    <n v="62"/>
  </r>
  <r>
    <n v="3289"/>
    <x v="58"/>
    <x v="2"/>
    <x v="57"/>
    <x v="1"/>
    <n v="10"/>
    <x v="0"/>
    <s v="No"/>
    <x v="1"/>
    <s v="Yes"/>
    <n v="20"/>
    <n v="10"/>
    <n v="20"/>
  </r>
  <r>
    <n v="3290"/>
    <x v="59"/>
    <x v="1"/>
    <x v="58"/>
    <x v="0"/>
    <n v="5"/>
    <x v="2"/>
    <s v="No"/>
    <x v="1"/>
    <s v="No"/>
    <n v="0"/>
    <n v="0"/>
    <n v="5"/>
  </r>
  <r>
    <n v="3291"/>
    <x v="60"/>
    <x v="0"/>
    <x v="59"/>
    <x v="1"/>
    <n v="15"/>
    <x v="0"/>
    <s v="Yes"/>
    <x v="0"/>
    <s v="Yes"/>
    <n v="20"/>
    <n v="5"/>
    <n v="60"/>
  </r>
  <r>
    <n v="3292"/>
    <x v="61"/>
    <x v="2"/>
    <x v="60"/>
    <x v="0"/>
    <n v="10"/>
    <x v="1"/>
    <s v="No"/>
    <x v="1"/>
    <s v="Yes"/>
    <n v="20"/>
    <n v="15"/>
    <n v="15"/>
  </r>
  <r>
    <n v="3293"/>
    <x v="62"/>
    <x v="1"/>
    <x v="61"/>
    <x v="1"/>
    <n v="5"/>
    <x v="0"/>
    <s v="No"/>
    <x v="1"/>
    <s v="No"/>
    <n v="0"/>
    <n v="1"/>
    <n v="4"/>
  </r>
  <r>
    <n v="3294"/>
    <x v="63"/>
    <x v="0"/>
    <x v="62"/>
    <x v="0"/>
    <n v="15"/>
    <x v="2"/>
    <s v="Yes"/>
    <x v="0"/>
    <s v="Yes"/>
    <n v="20"/>
    <n v="20"/>
    <n v="45"/>
  </r>
  <r>
    <n v="3295"/>
    <x v="64"/>
    <x v="2"/>
    <x v="63"/>
    <x v="1"/>
    <n v="10"/>
    <x v="0"/>
    <s v="No"/>
    <x v="1"/>
    <s v="Yes"/>
    <n v="20"/>
    <n v="5"/>
    <n v="25"/>
  </r>
  <r>
    <n v="3296"/>
    <x v="65"/>
    <x v="1"/>
    <x v="64"/>
    <x v="1"/>
    <n v="5"/>
    <x v="0"/>
    <s v="No"/>
    <x v="1"/>
    <s v="No"/>
    <n v="0"/>
    <n v="0"/>
    <n v="5"/>
  </r>
  <r>
    <n v="3297"/>
    <x v="66"/>
    <x v="0"/>
    <x v="65"/>
    <x v="0"/>
    <n v="15"/>
    <x v="2"/>
    <s v="Yes"/>
    <x v="0"/>
    <s v="Yes"/>
    <n v="20"/>
    <n v="7"/>
    <n v="58"/>
  </r>
  <r>
    <n v="3298"/>
    <x v="67"/>
    <x v="2"/>
    <x v="66"/>
    <x v="1"/>
    <n v="10"/>
    <x v="1"/>
    <s v="No"/>
    <x v="1"/>
    <s v="Yes"/>
    <n v="20"/>
    <n v="10"/>
    <n v="20"/>
  </r>
  <r>
    <n v="3299"/>
    <x v="68"/>
    <x v="1"/>
    <x v="67"/>
    <x v="0"/>
    <n v="5"/>
    <x v="2"/>
    <s v="No"/>
    <x v="1"/>
    <s v="No"/>
    <n v="0"/>
    <n v="1"/>
    <n v="4"/>
  </r>
  <r>
    <n v="3300"/>
    <x v="69"/>
    <x v="0"/>
    <x v="68"/>
    <x v="1"/>
    <n v="15"/>
    <x v="0"/>
    <s v="Yes"/>
    <x v="0"/>
    <s v="Yes"/>
    <n v="20"/>
    <n v="15"/>
    <n v="50"/>
  </r>
  <r>
    <n v="3301"/>
    <x v="70"/>
    <x v="2"/>
    <x v="69"/>
    <x v="0"/>
    <n v="10"/>
    <x v="0"/>
    <s v="No"/>
    <x v="1"/>
    <s v="Yes"/>
    <n v="20"/>
    <n v="5"/>
    <n v="25"/>
  </r>
  <r>
    <n v="3302"/>
    <x v="71"/>
    <x v="1"/>
    <x v="70"/>
    <x v="1"/>
    <n v="5"/>
    <x v="1"/>
    <s v="No"/>
    <x v="1"/>
    <s v="No"/>
    <n v="0"/>
    <n v="0"/>
    <n v="5"/>
  </r>
  <r>
    <n v="3303"/>
    <x v="72"/>
    <x v="0"/>
    <x v="71"/>
    <x v="0"/>
    <n v="15"/>
    <x v="2"/>
    <s v="Yes"/>
    <x v="0"/>
    <s v="Yes"/>
    <n v="20"/>
    <n v="20"/>
    <n v="45"/>
  </r>
  <r>
    <n v="3304"/>
    <x v="73"/>
    <x v="2"/>
    <x v="72"/>
    <x v="1"/>
    <n v="10"/>
    <x v="2"/>
    <s v="No"/>
    <x v="1"/>
    <s v="Yes"/>
    <n v="20"/>
    <n v="12"/>
    <n v="18"/>
  </r>
  <r>
    <n v="3305"/>
    <x v="74"/>
    <x v="1"/>
    <x v="73"/>
    <x v="0"/>
    <n v="5"/>
    <x v="0"/>
    <s v="No"/>
    <x v="1"/>
    <s v="No"/>
    <n v="0"/>
    <n v="2"/>
    <n v="3"/>
  </r>
  <r>
    <n v="3306"/>
    <x v="75"/>
    <x v="0"/>
    <x v="74"/>
    <x v="1"/>
    <n v="15"/>
    <x v="1"/>
    <s v="Yes"/>
    <x v="0"/>
    <s v="Yes"/>
    <n v="20"/>
    <n v="5"/>
    <n v="60"/>
  </r>
  <r>
    <n v="3307"/>
    <x v="76"/>
    <x v="2"/>
    <x v="75"/>
    <x v="0"/>
    <n v="10"/>
    <x v="0"/>
    <s v="No"/>
    <x v="1"/>
    <s v="Yes"/>
    <n v="20"/>
    <n v="10"/>
    <n v="20"/>
  </r>
  <r>
    <n v="3308"/>
    <x v="77"/>
    <x v="1"/>
    <x v="76"/>
    <x v="1"/>
    <n v="5"/>
    <x v="2"/>
    <s v="No"/>
    <x v="1"/>
    <s v="No"/>
    <n v="0"/>
    <n v="0"/>
    <n v="5"/>
  </r>
  <r>
    <n v="3309"/>
    <x v="78"/>
    <x v="0"/>
    <x v="77"/>
    <x v="0"/>
    <n v="15"/>
    <x v="0"/>
    <s v="Yes"/>
    <x v="0"/>
    <s v="Yes"/>
    <n v="20"/>
    <n v="3"/>
    <n v="62"/>
  </r>
  <r>
    <n v="3310"/>
    <x v="79"/>
    <x v="2"/>
    <x v="78"/>
    <x v="1"/>
    <n v="10"/>
    <x v="1"/>
    <s v="No"/>
    <x v="1"/>
    <s v="Yes"/>
    <n v="20"/>
    <n v="15"/>
    <n v="15"/>
  </r>
  <r>
    <n v="3311"/>
    <x v="80"/>
    <x v="1"/>
    <x v="79"/>
    <x v="0"/>
    <n v="5"/>
    <x v="0"/>
    <s v="No"/>
    <x v="1"/>
    <s v="No"/>
    <n v="0"/>
    <n v="1"/>
    <n v="4"/>
  </r>
  <r>
    <n v="3312"/>
    <x v="81"/>
    <x v="0"/>
    <x v="80"/>
    <x v="1"/>
    <n v="15"/>
    <x v="2"/>
    <s v="Yes"/>
    <x v="0"/>
    <s v="Yes"/>
    <n v="20"/>
    <n v="7"/>
    <n v="58"/>
  </r>
  <r>
    <n v="3313"/>
    <x v="82"/>
    <x v="2"/>
    <x v="81"/>
    <x v="0"/>
    <n v="10"/>
    <x v="0"/>
    <s v="No"/>
    <x v="1"/>
    <s v="Yes"/>
    <n v="20"/>
    <n v="10"/>
    <n v="20"/>
  </r>
  <r>
    <n v="3314"/>
    <x v="83"/>
    <x v="1"/>
    <x v="82"/>
    <x v="1"/>
    <n v="5"/>
    <x v="1"/>
    <s v="No"/>
    <x v="1"/>
    <s v="No"/>
    <n v="0"/>
    <n v="0"/>
    <n v="5"/>
  </r>
  <r>
    <n v="3315"/>
    <x v="84"/>
    <x v="0"/>
    <x v="83"/>
    <x v="0"/>
    <n v="15"/>
    <x v="0"/>
    <s v="Yes"/>
    <x v="0"/>
    <s v="Yes"/>
    <n v="20"/>
    <n v="20"/>
    <n v="45"/>
  </r>
  <r>
    <n v="3316"/>
    <x v="85"/>
    <x v="2"/>
    <x v="84"/>
    <x v="1"/>
    <n v="10"/>
    <x v="2"/>
    <s v="No"/>
    <x v="1"/>
    <s v="Yes"/>
    <n v="20"/>
    <n v="15"/>
    <n v="15"/>
  </r>
  <r>
    <n v="3317"/>
    <x v="86"/>
    <x v="1"/>
    <x v="85"/>
    <x v="0"/>
    <n v="5"/>
    <x v="0"/>
    <s v="No"/>
    <x v="1"/>
    <s v="No"/>
    <n v="0"/>
    <n v="1"/>
    <n v="4"/>
  </r>
  <r>
    <n v="3318"/>
    <x v="87"/>
    <x v="0"/>
    <x v="86"/>
    <x v="1"/>
    <n v="15"/>
    <x v="1"/>
    <s v="Yes"/>
    <x v="0"/>
    <s v="Yes"/>
    <n v="20"/>
    <n v="3"/>
    <n v="62"/>
  </r>
  <r>
    <n v="3319"/>
    <x v="88"/>
    <x v="2"/>
    <x v="87"/>
    <x v="0"/>
    <n v="10"/>
    <x v="0"/>
    <s v="No"/>
    <x v="1"/>
    <s v="Yes"/>
    <n v="20"/>
    <n v="10"/>
    <n v="20"/>
  </r>
  <r>
    <n v="3320"/>
    <x v="89"/>
    <x v="1"/>
    <x v="88"/>
    <x v="1"/>
    <n v="5"/>
    <x v="2"/>
    <s v="No"/>
    <x v="1"/>
    <s v="No"/>
    <n v="0"/>
    <n v="0"/>
    <n v="5"/>
  </r>
  <r>
    <n v="3321"/>
    <x v="90"/>
    <x v="0"/>
    <x v="89"/>
    <x v="0"/>
    <n v="15"/>
    <x v="0"/>
    <s v="Yes"/>
    <x v="0"/>
    <s v="Yes"/>
    <n v="20"/>
    <n v="5"/>
    <n v="60"/>
  </r>
  <r>
    <n v="3322"/>
    <x v="91"/>
    <x v="2"/>
    <x v="90"/>
    <x v="1"/>
    <n v="10"/>
    <x v="1"/>
    <s v="No"/>
    <x v="1"/>
    <s v="Yes"/>
    <n v="20"/>
    <n v="15"/>
    <n v="15"/>
  </r>
  <r>
    <n v="3323"/>
    <x v="92"/>
    <x v="1"/>
    <x v="91"/>
    <x v="0"/>
    <n v="5"/>
    <x v="0"/>
    <s v="No"/>
    <x v="1"/>
    <s v="No"/>
    <n v="0"/>
    <n v="1"/>
    <n v="4"/>
  </r>
  <r>
    <n v="3324"/>
    <x v="93"/>
    <x v="0"/>
    <x v="92"/>
    <x v="1"/>
    <n v="15"/>
    <x v="2"/>
    <s v="Yes"/>
    <x v="0"/>
    <s v="Yes"/>
    <n v="20"/>
    <n v="20"/>
    <n v="45"/>
  </r>
  <r>
    <n v="3325"/>
    <x v="94"/>
    <x v="2"/>
    <x v="93"/>
    <x v="0"/>
    <n v="10"/>
    <x v="2"/>
    <s v="No"/>
    <x v="1"/>
    <s v="Yes"/>
    <n v="20"/>
    <n v="15"/>
    <n v="15"/>
  </r>
  <r>
    <n v="3326"/>
    <x v="95"/>
    <x v="1"/>
    <x v="94"/>
    <x v="1"/>
    <n v="5"/>
    <x v="1"/>
    <s v="No"/>
    <x v="1"/>
    <s v="No"/>
    <n v="0"/>
    <n v="0"/>
    <n v="5"/>
  </r>
  <r>
    <n v="3327"/>
    <x v="96"/>
    <x v="0"/>
    <x v="95"/>
    <x v="0"/>
    <n v="15"/>
    <x v="0"/>
    <s v="Yes"/>
    <x v="0"/>
    <s v="Yes"/>
    <n v="20"/>
    <n v="7"/>
    <n v="58"/>
  </r>
  <r>
    <n v="3328"/>
    <x v="97"/>
    <x v="2"/>
    <x v="96"/>
    <x v="1"/>
    <n v="10"/>
    <x v="1"/>
    <s v="No"/>
    <x v="1"/>
    <s v="Yes"/>
    <n v="20"/>
    <n v="10"/>
    <n v="20"/>
  </r>
  <r>
    <n v="3329"/>
    <x v="98"/>
    <x v="1"/>
    <x v="97"/>
    <x v="0"/>
    <n v="5"/>
    <x v="2"/>
    <s v="No"/>
    <x v="1"/>
    <s v="No"/>
    <n v="0"/>
    <n v="1"/>
    <n v="4"/>
  </r>
  <r>
    <n v="3330"/>
    <x v="99"/>
    <x v="0"/>
    <x v="98"/>
    <x v="1"/>
    <n v="15"/>
    <x v="0"/>
    <s v="Yes"/>
    <x v="0"/>
    <s v="Yes"/>
    <n v="20"/>
    <n v="15"/>
    <n v="50"/>
  </r>
  <r>
    <n v="3331"/>
    <x v="100"/>
    <x v="2"/>
    <x v="99"/>
    <x v="0"/>
    <n v="10"/>
    <x v="0"/>
    <s v="No"/>
    <x v="1"/>
    <s v="Yes"/>
    <n v="20"/>
    <n v="5"/>
    <n v="25"/>
  </r>
  <r>
    <n v="3332"/>
    <x v="101"/>
    <x v="1"/>
    <x v="100"/>
    <x v="1"/>
    <n v="5"/>
    <x v="1"/>
    <s v="No"/>
    <x v="1"/>
    <s v="No"/>
    <n v="0"/>
    <n v="0"/>
    <n v="5"/>
  </r>
  <r>
    <n v="3333"/>
    <x v="102"/>
    <x v="0"/>
    <x v="101"/>
    <x v="0"/>
    <n v="15"/>
    <x v="2"/>
    <s v="Yes"/>
    <x v="0"/>
    <s v="Yes"/>
    <n v="20"/>
    <n v="20"/>
    <n v="45"/>
  </r>
  <r>
    <n v="3334"/>
    <x v="103"/>
    <x v="2"/>
    <x v="102"/>
    <x v="1"/>
    <n v="10"/>
    <x v="2"/>
    <s v="No"/>
    <x v="1"/>
    <s v="Yes"/>
    <n v="20"/>
    <n v="12"/>
    <n v="18"/>
  </r>
  <r>
    <n v="3335"/>
    <x v="104"/>
    <x v="1"/>
    <x v="103"/>
    <x v="0"/>
    <n v="5"/>
    <x v="0"/>
    <s v="No"/>
    <x v="1"/>
    <s v="No"/>
    <n v="0"/>
    <n v="2"/>
    <n v="3"/>
  </r>
  <r>
    <n v="3336"/>
    <x v="105"/>
    <x v="1"/>
    <x v="104"/>
    <x v="0"/>
    <n v="5"/>
    <x v="0"/>
    <s v="No"/>
    <x v="1"/>
    <s v="No"/>
    <n v="0"/>
    <n v="0"/>
    <n v="5"/>
  </r>
  <r>
    <n v="3337"/>
    <x v="106"/>
    <x v="0"/>
    <x v="105"/>
    <x v="1"/>
    <n v="15"/>
    <x v="2"/>
    <s v="Yes"/>
    <x v="0"/>
    <s v="Yes"/>
    <n v="20"/>
    <n v="7"/>
    <n v="58"/>
  </r>
  <r>
    <n v="3338"/>
    <x v="107"/>
    <x v="2"/>
    <x v="106"/>
    <x v="0"/>
    <n v="10"/>
    <x v="1"/>
    <s v="No"/>
    <x v="1"/>
    <s v="Yes"/>
    <n v="20"/>
    <n v="10"/>
    <n v="20"/>
  </r>
  <r>
    <n v="3339"/>
    <x v="108"/>
    <x v="1"/>
    <x v="107"/>
    <x v="1"/>
    <n v="5"/>
    <x v="2"/>
    <s v="No"/>
    <x v="1"/>
    <s v="No"/>
    <n v="0"/>
    <n v="1"/>
    <n v="4"/>
  </r>
  <r>
    <n v="3340"/>
    <x v="109"/>
    <x v="0"/>
    <x v="108"/>
    <x v="0"/>
    <n v="15"/>
    <x v="0"/>
    <s v="Yes"/>
    <x v="0"/>
    <s v="Yes"/>
    <n v="20"/>
    <n v="15"/>
    <n v="50"/>
  </r>
  <r>
    <n v="3341"/>
    <x v="110"/>
    <x v="2"/>
    <x v="109"/>
    <x v="1"/>
    <n v="10"/>
    <x v="0"/>
    <s v="No"/>
    <x v="1"/>
    <s v="Yes"/>
    <n v="20"/>
    <n v="5"/>
    <n v="25"/>
  </r>
  <r>
    <n v="3342"/>
    <x v="111"/>
    <x v="1"/>
    <x v="110"/>
    <x v="0"/>
    <n v="5"/>
    <x v="1"/>
    <s v="No"/>
    <x v="1"/>
    <s v="No"/>
    <n v="0"/>
    <n v="0"/>
    <n v="5"/>
  </r>
  <r>
    <n v="3343"/>
    <x v="112"/>
    <x v="0"/>
    <x v="111"/>
    <x v="1"/>
    <n v="15"/>
    <x v="2"/>
    <s v="Yes"/>
    <x v="0"/>
    <s v="Yes"/>
    <n v="20"/>
    <n v="20"/>
    <n v="45"/>
  </r>
  <r>
    <n v="3344"/>
    <x v="113"/>
    <x v="2"/>
    <x v="112"/>
    <x v="0"/>
    <n v="10"/>
    <x v="2"/>
    <s v="No"/>
    <x v="1"/>
    <s v="Yes"/>
    <n v="20"/>
    <n v="12"/>
    <n v="18"/>
  </r>
  <r>
    <n v="3345"/>
    <x v="114"/>
    <x v="1"/>
    <x v="113"/>
    <x v="1"/>
    <n v="5"/>
    <x v="0"/>
    <s v="No"/>
    <x v="1"/>
    <s v="No"/>
    <n v="0"/>
    <n v="2"/>
    <n v="3"/>
  </r>
  <r>
    <n v="3346"/>
    <x v="115"/>
    <x v="0"/>
    <x v="114"/>
    <x v="0"/>
    <n v="15"/>
    <x v="1"/>
    <s v="Yes"/>
    <x v="0"/>
    <s v="Yes"/>
    <n v="20"/>
    <n v="5"/>
    <n v="60"/>
  </r>
  <r>
    <n v="3347"/>
    <x v="116"/>
    <x v="2"/>
    <x v="115"/>
    <x v="1"/>
    <n v="10"/>
    <x v="0"/>
    <s v="No"/>
    <x v="1"/>
    <s v="Yes"/>
    <n v="20"/>
    <n v="10"/>
    <n v="20"/>
  </r>
  <r>
    <n v="3348"/>
    <x v="117"/>
    <x v="1"/>
    <x v="116"/>
    <x v="0"/>
    <n v="5"/>
    <x v="2"/>
    <s v="No"/>
    <x v="1"/>
    <s v="No"/>
    <n v="0"/>
    <n v="0"/>
    <n v="5"/>
  </r>
  <r>
    <n v="3349"/>
    <x v="93"/>
    <x v="0"/>
    <x v="117"/>
    <x v="1"/>
    <n v="15"/>
    <x v="0"/>
    <s v="Yes"/>
    <x v="0"/>
    <s v="Yes"/>
    <n v="20"/>
    <n v="3"/>
    <n v="62"/>
  </r>
  <r>
    <n v="3350"/>
    <x v="118"/>
    <x v="2"/>
    <x v="118"/>
    <x v="0"/>
    <n v="10"/>
    <x v="1"/>
    <s v="No"/>
    <x v="1"/>
    <s v="Yes"/>
    <n v="20"/>
    <n v="15"/>
    <n v="15"/>
  </r>
  <r>
    <n v="3351"/>
    <x v="119"/>
    <x v="1"/>
    <x v="119"/>
    <x v="1"/>
    <n v="5"/>
    <x v="0"/>
    <s v="No"/>
    <x v="1"/>
    <s v="No"/>
    <n v="0"/>
    <n v="1"/>
    <n v="4"/>
  </r>
  <r>
    <n v="3352"/>
    <x v="120"/>
    <x v="0"/>
    <x v="120"/>
    <x v="0"/>
    <n v="15"/>
    <x v="2"/>
    <s v="Yes"/>
    <x v="0"/>
    <s v="Yes"/>
    <n v="20"/>
    <n v="7"/>
    <n v="58"/>
  </r>
  <r>
    <n v="3353"/>
    <x v="121"/>
    <x v="2"/>
    <x v="121"/>
    <x v="1"/>
    <n v="10"/>
    <x v="0"/>
    <s v="No"/>
    <x v="1"/>
    <s v="Yes"/>
    <n v="20"/>
    <n v="10"/>
    <n v="20"/>
  </r>
  <r>
    <n v="3354"/>
    <x v="122"/>
    <x v="1"/>
    <x v="122"/>
    <x v="0"/>
    <n v="5"/>
    <x v="1"/>
    <s v="No"/>
    <x v="1"/>
    <s v="No"/>
    <n v="0"/>
    <n v="0"/>
    <n v="5"/>
  </r>
  <r>
    <n v="3355"/>
    <x v="123"/>
    <x v="0"/>
    <x v="123"/>
    <x v="1"/>
    <n v="15"/>
    <x v="0"/>
    <s v="Yes"/>
    <x v="0"/>
    <s v="Yes"/>
    <n v="20"/>
    <n v="20"/>
    <n v="45"/>
  </r>
  <r>
    <n v="3356"/>
    <x v="124"/>
    <x v="2"/>
    <x v="124"/>
    <x v="0"/>
    <n v="10"/>
    <x v="2"/>
    <s v="No"/>
    <x v="1"/>
    <s v="Yes"/>
    <n v="20"/>
    <n v="15"/>
    <n v="15"/>
  </r>
  <r>
    <n v="3357"/>
    <x v="125"/>
    <x v="1"/>
    <x v="125"/>
    <x v="1"/>
    <n v="5"/>
    <x v="0"/>
    <s v="No"/>
    <x v="1"/>
    <s v="No"/>
    <n v="0"/>
    <n v="1"/>
    <n v="4"/>
  </r>
  <r>
    <n v="3358"/>
    <x v="126"/>
    <x v="0"/>
    <x v="126"/>
    <x v="0"/>
    <n v="15"/>
    <x v="1"/>
    <s v="Yes"/>
    <x v="0"/>
    <s v="Yes"/>
    <n v="20"/>
    <n v="3"/>
    <n v="62"/>
  </r>
  <r>
    <n v="3359"/>
    <x v="127"/>
    <x v="2"/>
    <x v="127"/>
    <x v="1"/>
    <n v="10"/>
    <x v="0"/>
    <s v="No"/>
    <x v="1"/>
    <s v="Yes"/>
    <n v="20"/>
    <n v="10"/>
    <n v="20"/>
  </r>
  <r>
    <n v="3360"/>
    <x v="128"/>
    <x v="1"/>
    <x v="128"/>
    <x v="0"/>
    <n v="5"/>
    <x v="2"/>
    <s v="No"/>
    <x v="1"/>
    <s v="No"/>
    <n v="0"/>
    <n v="0"/>
    <n v="5"/>
  </r>
  <r>
    <n v="3361"/>
    <x v="129"/>
    <x v="0"/>
    <x v="129"/>
    <x v="1"/>
    <n v="15"/>
    <x v="0"/>
    <s v="Yes"/>
    <x v="0"/>
    <s v="Yes"/>
    <n v="20"/>
    <n v="15"/>
    <n v="50"/>
  </r>
  <r>
    <n v="3362"/>
    <x v="130"/>
    <x v="2"/>
    <x v="130"/>
    <x v="0"/>
    <n v="10"/>
    <x v="1"/>
    <s v="No"/>
    <x v="1"/>
    <s v="Yes"/>
    <n v="20"/>
    <n v="15"/>
    <n v="15"/>
  </r>
  <r>
    <n v="3363"/>
    <x v="131"/>
    <x v="1"/>
    <x v="131"/>
    <x v="1"/>
    <n v="5"/>
    <x v="0"/>
    <s v="No"/>
    <x v="1"/>
    <s v="No"/>
    <n v="0"/>
    <n v="1"/>
    <n v="4"/>
  </r>
  <r>
    <n v="3364"/>
    <x v="132"/>
    <x v="0"/>
    <x v="132"/>
    <x v="0"/>
    <n v="15"/>
    <x v="2"/>
    <s v="Yes"/>
    <x v="0"/>
    <s v="Yes"/>
    <n v="20"/>
    <n v="7"/>
    <n v="58"/>
  </r>
  <r>
    <n v="3365"/>
    <x v="133"/>
    <x v="2"/>
    <x v="133"/>
    <x v="1"/>
    <n v="10"/>
    <x v="0"/>
    <s v="No"/>
    <x v="1"/>
    <s v="Yes"/>
    <n v="20"/>
    <n v="10"/>
    <n v="20"/>
  </r>
  <r>
    <n v="3366"/>
    <x v="134"/>
    <x v="1"/>
    <x v="134"/>
    <x v="0"/>
    <n v="5"/>
    <x v="0"/>
    <s v="No"/>
    <x v="1"/>
    <s v="No"/>
    <n v="0"/>
    <n v="0"/>
    <n v="5"/>
  </r>
  <r>
    <n v="3367"/>
    <x v="135"/>
    <x v="0"/>
    <x v="135"/>
    <x v="1"/>
    <n v="15"/>
    <x v="2"/>
    <s v="Yes"/>
    <x v="0"/>
    <s v="Yes"/>
    <n v="20"/>
    <n v="7"/>
    <n v="58"/>
  </r>
  <r>
    <n v="3368"/>
    <x v="136"/>
    <x v="2"/>
    <x v="136"/>
    <x v="0"/>
    <n v="10"/>
    <x v="1"/>
    <s v="No"/>
    <x v="1"/>
    <s v="Yes"/>
    <n v="20"/>
    <n v="10"/>
    <n v="20"/>
  </r>
  <r>
    <n v="3369"/>
    <x v="137"/>
    <x v="1"/>
    <x v="137"/>
    <x v="1"/>
    <n v="5"/>
    <x v="2"/>
    <s v="No"/>
    <x v="1"/>
    <s v="No"/>
    <n v="0"/>
    <n v="1"/>
    <n v="4"/>
  </r>
  <r>
    <n v="3370"/>
    <x v="138"/>
    <x v="0"/>
    <x v="138"/>
    <x v="0"/>
    <n v="15"/>
    <x v="0"/>
    <s v="Yes"/>
    <x v="0"/>
    <s v="Yes"/>
    <n v="20"/>
    <n v="15"/>
    <n v="50"/>
  </r>
  <r>
    <n v="3371"/>
    <x v="139"/>
    <x v="2"/>
    <x v="139"/>
    <x v="1"/>
    <n v="10"/>
    <x v="0"/>
    <s v="No"/>
    <x v="1"/>
    <s v="Yes"/>
    <n v="20"/>
    <n v="5"/>
    <n v="25"/>
  </r>
  <r>
    <n v="3372"/>
    <x v="140"/>
    <x v="1"/>
    <x v="140"/>
    <x v="0"/>
    <n v="5"/>
    <x v="1"/>
    <s v="No"/>
    <x v="1"/>
    <s v="No"/>
    <n v="0"/>
    <n v="0"/>
    <n v="5"/>
  </r>
  <r>
    <n v="3373"/>
    <x v="141"/>
    <x v="0"/>
    <x v="141"/>
    <x v="1"/>
    <n v="15"/>
    <x v="2"/>
    <s v="Yes"/>
    <x v="0"/>
    <s v="Yes"/>
    <n v="20"/>
    <n v="20"/>
    <n v="45"/>
  </r>
  <r>
    <n v="3374"/>
    <x v="142"/>
    <x v="2"/>
    <x v="142"/>
    <x v="0"/>
    <n v="10"/>
    <x v="2"/>
    <s v="No"/>
    <x v="1"/>
    <s v="Yes"/>
    <n v="20"/>
    <n v="12"/>
    <n v="18"/>
  </r>
  <r>
    <n v="3375"/>
    <x v="143"/>
    <x v="1"/>
    <x v="143"/>
    <x v="1"/>
    <n v="5"/>
    <x v="0"/>
    <s v="No"/>
    <x v="1"/>
    <s v="No"/>
    <n v="0"/>
    <n v="2"/>
    <n v="3"/>
  </r>
  <r>
    <n v="3376"/>
    <x v="144"/>
    <x v="0"/>
    <x v="144"/>
    <x v="0"/>
    <n v="15"/>
    <x v="1"/>
    <s v="Yes"/>
    <x v="0"/>
    <s v="Yes"/>
    <n v="20"/>
    <n v="5"/>
    <n v="60"/>
  </r>
  <r>
    <n v="3377"/>
    <x v="145"/>
    <x v="2"/>
    <x v="145"/>
    <x v="1"/>
    <n v="10"/>
    <x v="0"/>
    <s v="No"/>
    <x v="1"/>
    <s v="Yes"/>
    <n v="20"/>
    <n v="10"/>
    <n v="20"/>
  </r>
  <r>
    <n v="3378"/>
    <x v="146"/>
    <x v="1"/>
    <x v="146"/>
    <x v="0"/>
    <n v="5"/>
    <x v="2"/>
    <s v="No"/>
    <x v="1"/>
    <s v="No"/>
    <n v="0"/>
    <n v="0"/>
    <n v="5"/>
  </r>
  <r>
    <n v="3379"/>
    <x v="147"/>
    <x v="0"/>
    <x v="147"/>
    <x v="1"/>
    <n v="15"/>
    <x v="0"/>
    <s v="Yes"/>
    <x v="0"/>
    <s v="Yes"/>
    <n v="20"/>
    <n v="3"/>
    <n v="62"/>
  </r>
  <r>
    <n v="3380"/>
    <x v="148"/>
    <x v="2"/>
    <x v="148"/>
    <x v="0"/>
    <n v="10"/>
    <x v="1"/>
    <s v="No"/>
    <x v="1"/>
    <s v="Yes"/>
    <n v="20"/>
    <n v="15"/>
    <n v="15"/>
  </r>
  <r>
    <n v="3381"/>
    <x v="149"/>
    <x v="1"/>
    <x v="149"/>
    <x v="1"/>
    <n v="5"/>
    <x v="0"/>
    <s v="No"/>
    <x v="1"/>
    <s v="No"/>
    <n v="0"/>
    <n v="1"/>
    <n v="4"/>
  </r>
  <r>
    <n v="3382"/>
    <x v="150"/>
    <x v="0"/>
    <x v="150"/>
    <x v="0"/>
    <n v="15"/>
    <x v="2"/>
    <s v="Yes"/>
    <x v="0"/>
    <s v="Yes"/>
    <n v="20"/>
    <n v="7"/>
    <n v="58"/>
  </r>
  <r>
    <n v="3383"/>
    <x v="151"/>
    <x v="2"/>
    <x v="151"/>
    <x v="1"/>
    <n v="10"/>
    <x v="0"/>
    <s v="No"/>
    <x v="1"/>
    <s v="Yes"/>
    <n v="20"/>
    <n v="10"/>
    <n v="20"/>
  </r>
  <r>
    <n v="3384"/>
    <x v="152"/>
    <x v="1"/>
    <x v="152"/>
    <x v="0"/>
    <n v="5"/>
    <x v="1"/>
    <s v="No"/>
    <x v="1"/>
    <s v="No"/>
    <n v="0"/>
    <n v="0"/>
    <n v="5"/>
  </r>
  <r>
    <n v="3385"/>
    <x v="153"/>
    <x v="0"/>
    <x v="153"/>
    <x v="1"/>
    <n v="15"/>
    <x v="0"/>
    <s v="Yes"/>
    <x v="0"/>
    <s v="Yes"/>
    <n v="20"/>
    <n v="20"/>
    <n v="45"/>
  </r>
  <r>
    <n v="3386"/>
    <x v="154"/>
    <x v="2"/>
    <x v="154"/>
    <x v="0"/>
    <n v="10"/>
    <x v="2"/>
    <s v="No"/>
    <x v="1"/>
    <s v="Yes"/>
    <n v="20"/>
    <n v="15"/>
    <n v="15"/>
  </r>
  <r>
    <n v="3387"/>
    <x v="155"/>
    <x v="1"/>
    <x v="155"/>
    <x v="1"/>
    <n v="5"/>
    <x v="0"/>
    <s v="No"/>
    <x v="1"/>
    <s v="No"/>
    <n v="0"/>
    <n v="1"/>
    <n v="4"/>
  </r>
  <r>
    <n v="3388"/>
    <x v="156"/>
    <x v="0"/>
    <x v="156"/>
    <x v="0"/>
    <n v="15"/>
    <x v="1"/>
    <s v="Yes"/>
    <x v="0"/>
    <s v="Yes"/>
    <n v="20"/>
    <n v="3"/>
    <n v="62"/>
  </r>
  <r>
    <n v="3389"/>
    <x v="157"/>
    <x v="2"/>
    <x v="157"/>
    <x v="1"/>
    <n v="10"/>
    <x v="0"/>
    <s v="No"/>
    <x v="1"/>
    <s v="Yes"/>
    <n v="20"/>
    <n v="10"/>
    <n v="20"/>
  </r>
  <r>
    <n v="3390"/>
    <x v="158"/>
    <x v="1"/>
    <x v="158"/>
    <x v="0"/>
    <n v="5"/>
    <x v="2"/>
    <s v="No"/>
    <x v="1"/>
    <s v="No"/>
    <n v="0"/>
    <n v="0"/>
    <n v="5"/>
  </r>
  <r>
    <n v="3391"/>
    <x v="58"/>
    <x v="0"/>
    <x v="159"/>
    <x v="1"/>
    <n v="15"/>
    <x v="0"/>
    <s v="Yes"/>
    <x v="0"/>
    <s v="Yes"/>
    <n v="20"/>
    <n v="15"/>
    <n v="50"/>
  </r>
  <r>
    <n v="3392"/>
    <x v="159"/>
    <x v="2"/>
    <x v="160"/>
    <x v="0"/>
    <n v="10"/>
    <x v="1"/>
    <s v="No"/>
    <x v="1"/>
    <s v="Yes"/>
    <n v="20"/>
    <n v="15"/>
    <n v="15"/>
  </r>
  <r>
    <n v="3393"/>
    <x v="160"/>
    <x v="1"/>
    <x v="161"/>
    <x v="1"/>
    <n v="5"/>
    <x v="0"/>
    <s v="No"/>
    <x v="1"/>
    <s v="No"/>
    <n v="0"/>
    <n v="1"/>
    <n v="4"/>
  </r>
  <r>
    <n v="3394"/>
    <x v="161"/>
    <x v="0"/>
    <x v="162"/>
    <x v="0"/>
    <n v="15"/>
    <x v="2"/>
    <s v="Yes"/>
    <x v="0"/>
    <s v="Yes"/>
    <n v="20"/>
    <n v="7"/>
    <n v="58"/>
  </r>
  <r>
    <n v="3395"/>
    <x v="162"/>
    <x v="2"/>
    <x v="163"/>
    <x v="1"/>
    <n v="10"/>
    <x v="0"/>
    <s v="No"/>
    <x v="1"/>
    <s v="Yes"/>
    <n v="20"/>
    <n v="10"/>
    <n v="20"/>
  </r>
  <r>
    <n v="3396"/>
    <x v="163"/>
    <x v="1"/>
    <x v="164"/>
    <x v="0"/>
    <n v="5"/>
    <x v="1"/>
    <s v="No"/>
    <x v="1"/>
    <s v="No"/>
    <n v="0"/>
    <n v="0"/>
    <n v="5"/>
  </r>
  <r>
    <n v="3397"/>
    <x v="90"/>
    <x v="0"/>
    <x v="165"/>
    <x v="1"/>
    <n v="15"/>
    <x v="0"/>
    <s v="Yes"/>
    <x v="0"/>
    <s v="Yes"/>
    <n v="20"/>
    <n v="20"/>
    <n v="45"/>
  </r>
  <r>
    <n v="3398"/>
    <x v="164"/>
    <x v="2"/>
    <x v="166"/>
    <x v="0"/>
    <n v="10"/>
    <x v="2"/>
    <s v="No"/>
    <x v="1"/>
    <s v="Yes"/>
    <n v="20"/>
    <n v="15"/>
    <n v="15"/>
  </r>
  <r>
    <n v="3399"/>
    <x v="165"/>
    <x v="1"/>
    <x v="167"/>
    <x v="1"/>
    <n v="5"/>
    <x v="0"/>
    <s v="No"/>
    <x v="1"/>
    <s v="No"/>
    <n v="0"/>
    <n v="1"/>
    <n v="4"/>
  </r>
  <r>
    <n v="3400"/>
    <x v="166"/>
    <x v="0"/>
    <x v="168"/>
    <x v="0"/>
    <n v="15"/>
    <x v="1"/>
    <s v="Yes"/>
    <x v="0"/>
    <s v="Yes"/>
    <n v="20"/>
    <n v="5"/>
    <n v="60"/>
  </r>
  <r>
    <n v="3401"/>
    <x v="167"/>
    <x v="2"/>
    <x v="169"/>
    <x v="1"/>
    <n v="10"/>
    <x v="0"/>
    <s v="No"/>
    <x v="1"/>
    <s v="Yes"/>
    <n v="20"/>
    <n v="10"/>
    <n v="20"/>
  </r>
  <r>
    <n v="3402"/>
    <x v="168"/>
    <x v="1"/>
    <x v="170"/>
    <x v="0"/>
    <n v="5"/>
    <x v="2"/>
    <s v="No"/>
    <x v="1"/>
    <s v="No"/>
    <n v="0"/>
    <n v="0"/>
    <n v="5"/>
  </r>
  <r>
    <n v="3403"/>
    <x v="169"/>
    <x v="0"/>
    <x v="171"/>
    <x v="1"/>
    <n v="15"/>
    <x v="0"/>
    <s v="Yes"/>
    <x v="0"/>
    <s v="Yes"/>
    <n v="20"/>
    <n v="3"/>
    <n v="62"/>
  </r>
  <r>
    <n v="3404"/>
    <x v="170"/>
    <x v="2"/>
    <x v="172"/>
    <x v="0"/>
    <n v="10"/>
    <x v="1"/>
    <s v="No"/>
    <x v="1"/>
    <s v="Yes"/>
    <n v="20"/>
    <n v="15"/>
    <n v="15"/>
  </r>
  <r>
    <n v="3405"/>
    <x v="171"/>
    <x v="1"/>
    <x v="173"/>
    <x v="1"/>
    <n v="5"/>
    <x v="0"/>
    <s v="No"/>
    <x v="1"/>
    <s v="No"/>
    <n v="0"/>
    <n v="1"/>
    <n v="4"/>
  </r>
  <r>
    <n v="3406"/>
    <x v="172"/>
    <x v="1"/>
    <x v="174"/>
    <x v="0"/>
    <n v="5"/>
    <x v="0"/>
    <s v="No"/>
    <x v="1"/>
    <s v="No"/>
    <n v="0"/>
    <n v="0"/>
    <n v="5"/>
  </r>
  <r>
    <n v="3407"/>
    <x v="173"/>
    <x v="0"/>
    <x v="175"/>
    <x v="1"/>
    <n v="15"/>
    <x v="2"/>
    <s v="Yes"/>
    <x v="0"/>
    <s v="Yes"/>
    <n v="20"/>
    <n v="7"/>
    <n v="58"/>
  </r>
  <r>
    <n v="3408"/>
    <x v="174"/>
    <x v="2"/>
    <x v="176"/>
    <x v="0"/>
    <n v="10"/>
    <x v="1"/>
    <s v="No"/>
    <x v="1"/>
    <s v="Yes"/>
    <n v="20"/>
    <n v="10"/>
    <n v="20"/>
  </r>
  <r>
    <n v="3409"/>
    <x v="175"/>
    <x v="1"/>
    <x v="177"/>
    <x v="1"/>
    <n v="5"/>
    <x v="2"/>
    <s v="No"/>
    <x v="1"/>
    <s v="No"/>
    <n v="0"/>
    <n v="1"/>
    <n v="4"/>
  </r>
  <r>
    <n v="3410"/>
    <x v="176"/>
    <x v="0"/>
    <x v="178"/>
    <x v="0"/>
    <n v="15"/>
    <x v="0"/>
    <s v="Yes"/>
    <x v="0"/>
    <s v="Yes"/>
    <n v="20"/>
    <n v="15"/>
    <n v="50"/>
  </r>
  <r>
    <n v="3411"/>
    <x v="177"/>
    <x v="2"/>
    <x v="179"/>
    <x v="1"/>
    <n v="10"/>
    <x v="0"/>
    <s v="No"/>
    <x v="1"/>
    <s v="Yes"/>
    <n v="20"/>
    <n v="5"/>
    <n v="25"/>
  </r>
  <r>
    <n v="3412"/>
    <x v="178"/>
    <x v="1"/>
    <x v="180"/>
    <x v="0"/>
    <n v="5"/>
    <x v="1"/>
    <s v="No"/>
    <x v="1"/>
    <s v="No"/>
    <n v="0"/>
    <n v="0"/>
    <n v="5"/>
  </r>
  <r>
    <n v="3413"/>
    <x v="179"/>
    <x v="0"/>
    <x v="181"/>
    <x v="1"/>
    <n v="15"/>
    <x v="2"/>
    <s v="Yes"/>
    <x v="0"/>
    <s v="Yes"/>
    <n v="20"/>
    <n v="20"/>
    <n v="45"/>
  </r>
  <r>
    <n v="3414"/>
    <x v="180"/>
    <x v="2"/>
    <x v="182"/>
    <x v="0"/>
    <n v="10"/>
    <x v="2"/>
    <s v="No"/>
    <x v="1"/>
    <s v="Yes"/>
    <n v="20"/>
    <n v="12"/>
    <n v="18"/>
  </r>
  <r>
    <n v="3415"/>
    <x v="181"/>
    <x v="1"/>
    <x v="183"/>
    <x v="1"/>
    <n v="5"/>
    <x v="0"/>
    <s v="No"/>
    <x v="1"/>
    <s v="No"/>
    <n v="0"/>
    <n v="2"/>
    <n v="3"/>
  </r>
  <r>
    <n v="3416"/>
    <x v="182"/>
    <x v="0"/>
    <x v="184"/>
    <x v="0"/>
    <n v="15"/>
    <x v="1"/>
    <s v="Yes"/>
    <x v="0"/>
    <s v="Yes"/>
    <n v="20"/>
    <n v="5"/>
    <n v="60"/>
  </r>
  <r>
    <n v="3417"/>
    <x v="183"/>
    <x v="2"/>
    <x v="185"/>
    <x v="1"/>
    <n v="10"/>
    <x v="0"/>
    <s v="No"/>
    <x v="1"/>
    <s v="Yes"/>
    <n v="20"/>
    <n v="10"/>
    <n v="20"/>
  </r>
  <r>
    <n v="3418"/>
    <x v="184"/>
    <x v="1"/>
    <x v="186"/>
    <x v="0"/>
    <n v="5"/>
    <x v="2"/>
    <s v="No"/>
    <x v="1"/>
    <s v="No"/>
    <n v="0"/>
    <n v="0"/>
    <n v="5"/>
  </r>
  <r>
    <n v="3419"/>
    <x v="185"/>
    <x v="0"/>
    <x v="187"/>
    <x v="1"/>
    <n v="15"/>
    <x v="0"/>
    <s v="Yes"/>
    <x v="0"/>
    <s v="Yes"/>
    <n v="20"/>
    <n v="3"/>
    <n v="62"/>
  </r>
  <r>
    <n v="3420"/>
    <x v="186"/>
    <x v="2"/>
    <x v="188"/>
    <x v="0"/>
    <n v="10"/>
    <x v="1"/>
    <s v="No"/>
    <x v="1"/>
    <s v="Yes"/>
    <n v="20"/>
    <n v="15"/>
    <n v="15"/>
  </r>
  <r>
    <n v="3421"/>
    <x v="15"/>
    <x v="1"/>
    <x v="189"/>
    <x v="1"/>
    <n v="5"/>
    <x v="0"/>
    <s v="No"/>
    <x v="1"/>
    <s v="No"/>
    <n v="0"/>
    <n v="1"/>
    <n v="4"/>
  </r>
  <r>
    <n v="3422"/>
    <x v="187"/>
    <x v="0"/>
    <x v="190"/>
    <x v="0"/>
    <n v="15"/>
    <x v="2"/>
    <s v="Yes"/>
    <x v="0"/>
    <s v="Yes"/>
    <n v="20"/>
    <n v="7"/>
    <n v="58"/>
  </r>
  <r>
    <n v="3423"/>
    <x v="188"/>
    <x v="2"/>
    <x v="191"/>
    <x v="1"/>
    <n v="10"/>
    <x v="0"/>
    <s v="No"/>
    <x v="1"/>
    <s v="Yes"/>
    <n v="20"/>
    <n v="10"/>
    <n v="20"/>
  </r>
  <r>
    <n v="3424"/>
    <x v="14"/>
    <x v="1"/>
    <x v="192"/>
    <x v="0"/>
    <n v="5"/>
    <x v="1"/>
    <s v="No"/>
    <x v="1"/>
    <s v="No"/>
    <n v="0"/>
    <n v="0"/>
    <n v="5"/>
  </r>
  <r>
    <n v="3425"/>
    <x v="189"/>
    <x v="0"/>
    <x v="193"/>
    <x v="1"/>
    <n v="15"/>
    <x v="0"/>
    <s v="Yes"/>
    <x v="0"/>
    <s v="Yes"/>
    <n v="20"/>
    <n v="20"/>
    <n v="45"/>
  </r>
  <r>
    <n v="3426"/>
    <x v="167"/>
    <x v="2"/>
    <x v="194"/>
    <x v="0"/>
    <n v="10"/>
    <x v="2"/>
    <s v="No"/>
    <x v="1"/>
    <s v="Yes"/>
    <n v="20"/>
    <n v="15"/>
    <n v="15"/>
  </r>
  <r>
    <n v="3427"/>
    <x v="190"/>
    <x v="1"/>
    <x v="195"/>
    <x v="1"/>
    <n v="5"/>
    <x v="0"/>
    <s v="No"/>
    <x v="1"/>
    <s v="No"/>
    <n v="0"/>
    <n v="1"/>
    <n v="4"/>
  </r>
  <r>
    <n v="3428"/>
    <x v="191"/>
    <x v="0"/>
    <x v="196"/>
    <x v="0"/>
    <n v="15"/>
    <x v="1"/>
    <s v="Yes"/>
    <x v="0"/>
    <s v="Yes"/>
    <n v="20"/>
    <n v="3"/>
    <n v="62"/>
  </r>
  <r>
    <n v="3429"/>
    <x v="192"/>
    <x v="2"/>
    <x v="197"/>
    <x v="1"/>
    <n v="10"/>
    <x v="0"/>
    <s v="No"/>
    <x v="1"/>
    <s v="Yes"/>
    <n v="20"/>
    <n v="10"/>
    <n v="20"/>
  </r>
  <r>
    <n v="3430"/>
    <x v="193"/>
    <x v="1"/>
    <x v="198"/>
    <x v="0"/>
    <n v="5"/>
    <x v="2"/>
    <s v="No"/>
    <x v="1"/>
    <s v="No"/>
    <n v="0"/>
    <n v="0"/>
    <n v="5"/>
  </r>
  <r>
    <n v="3431"/>
    <x v="194"/>
    <x v="0"/>
    <x v="199"/>
    <x v="1"/>
    <n v="15"/>
    <x v="0"/>
    <s v="Yes"/>
    <x v="0"/>
    <s v="Yes"/>
    <n v="20"/>
    <n v="15"/>
    <n v="50"/>
  </r>
  <r>
    <n v="3432"/>
    <x v="195"/>
    <x v="2"/>
    <x v="200"/>
    <x v="0"/>
    <n v="10"/>
    <x v="1"/>
    <s v="No"/>
    <x v="1"/>
    <s v="Yes"/>
    <n v="20"/>
    <n v="15"/>
    <n v="15"/>
  </r>
  <r>
    <n v="3433"/>
    <x v="196"/>
    <x v="1"/>
    <x v="201"/>
    <x v="1"/>
    <n v="5"/>
    <x v="0"/>
    <s v="No"/>
    <x v="1"/>
    <s v="No"/>
    <n v="0"/>
    <n v="1"/>
    <n v="4"/>
  </r>
  <r>
    <n v="3434"/>
    <x v="197"/>
    <x v="0"/>
    <x v="202"/>
    <x v="0"/>
    <n v="15"/>
    <x v="2"/>
    <s v="Yes"/>
    <x v="0"/>
    <s v="Yes"/>
    <n v="20"/>
    <n v="7"/>
    <n v="58"/>
  </r>
  <r>
    <n v="3435"/>
    <x v="198"/>
    <x v="2"/>
    <x v="203"/>
    <x v="1"/>
    <n v="10"/>
    <x v="0"/>
    <s v="No"/>
    <x v="1"/>
    <s v="Yes"/>
    <n v="20"/>
    <n v="10"/>
    <n v="20"/>
  </r>
  <r>
    <n v="3436"/>
    <x v="199"/>
    <x v="1"/>
    <x v="204"/>
    <x v="0"/>
    <n v="5"/>
    <x v="0"/>
    <s v="No"/>
    <x v="1"/>
    <s v="No"/>
    <n v="0"/>
    <n v="0"/>
    <n v="5"/>
  </r>
  <r>
    <n v="3437"/>
    <x v="200"/>
    <x v="0"/>
    <x v="205"/>
    <x v="1"/>
    <n v="15"/>
    <x v="2"/>
    <s v="Yes"/>
    <x v="0"/>
    <s v="Yes"/>
    <n v="20"/>
    <n v="7"/>
    <n v="58"/>
  </r>
  <r>
    <n v="3438"/>
    <x v="201"/>
    <x v="2"/>
    <x v="206"/>
    <x v="0"/>
    <n v="10"/>
    <x v="1"/>
    <s v="No"/>
    <x v="1"/>
    <s v="Yes"/>
    <n v="20"/>
    <n v="10"/>
    <n v="20"/>
  </r>
  <r>
    <n v="3439"/>
    <x v="202"/>
    <x v="1"/>
    <x v="207"/>
    <x v="1"/>
    <n v="5"/>
    <x v="2"/>
    <s v="No"/>
    <x v="1"/>
    <s v="No"/>
    <n v="0"/>
    <n v="1"/>
    <n v="4"/>
  </r>
  <r>
    <n v="3440"/>
    <x v="203"/>
    <x v="0"/>
    <x v="208"/>
    <x v="0"/>
    <n v="15"/>
    <x v="0"/>
    <s v="Yes"/>
    <x v="0"/>
    <s v="Yes"/>
    <n v="20"/>
    <n v="15"/>
    <n v="50"/>
  </r>
  <r>
    <n v="3441"/>
    <x v="204"/>
    <x v="2"/>
    <x v="209"/>
    <x v="1"/>
    <n v="10"/>
    <x v="0"/>
    <s v="No"/>
    <x v="1"/>
    <s v="Yes"/>
    <n v="20"/>
    <n v="5"/>
    <n v="25"/>
  </r>
  <r>
    <n v="3442"/>
    <x v="205"/>
    <x v="1"/>
    <x v="210"/>
    <x v="0"/>
    <n v="5"/>
    <x v="1"/>
    <s v="No"/>
    <x v="1"/>
    <s v="No"/>
    <n v="0"/>
    <n v="0"/>
    <n v="5"/>
  </r>
  <r>
    <n v="3443"/>
    <x v="206"/>
    <x v="0"/>
    <x v="211"/>
    <x v="1"/>
    <n v="15"/>
    <x v="2"/>
    <s v="Yes"/>
    <x v="0"/>
    <s v="Yes"/>
    <n v="20"/>
    <n v="20"/>
    <n v="45"/>
  </r>
  <r>
    <n v="3444"/>
    <x v="207"/>
    <x v="2"/>
    <x v="212"/>
    <x v="0"/>
    <n v="10"/>
    <x v="2"/>
    <s v="No"/>
    <x v="1"/>
    <s v="Yes"/>
    <n v="20"/>
    <n v="12"/>
    <n v="18"/>
  </r>
  <r>
    <n v="3445"/>
    <x v="37"/>
    <x v="1"/>
    <x v="213"/>
    <x v="1"/>
    <n v="5"/>
    <x v="0"/>
    <s v="No"/>
    <x v="1"/>
    <s v="No"/>
    <n v="0"/>
    <n v="2"/>
    <n v="3"/>
  </r>
  <r>
    <n v="3446"/>
    <x v="208"/>
    <x v="0"/>
    <x v="214"/>
    <x v="0"/>
    <n v="15"/>
    <x v="1"/>
    <s v="Yes"/>
    <x v="0"/>
    <s v="Yes"/>
    <n v="20"/>
    <n v="5"/>
    <n v="60"/>
  </r>
  <r>
    <n v="3447"/>
    <x v="209"/>
    <x v="2"/>
    <x v="215"/>
    <x v="1"/>
    <n v="10"/>
    <x v="0"/>
    <s v="No"/>
    <x v="1"/>
    <s v="Yes"/>
    <n v="20"/>
    <n v="10"/>
    <n v="20"/>
  </r>
  <r>
    <n v="3448"/>
    <x v="210"/>
    <x v="1"/>
    <x v="216"/>
    <x v="0"/>
    <n v="5"/>
    <x v="2"/>
    <s v="No"/>
    <x v="1"/>
    <s v="No"/>
    <n v="0"/>
    <n v="0"/>
    <n v="5"/>
  </r>
  <r>
    <n v="3449"/>
    <x v="211"/>
    <x v="0"/>
    <x v="217"/>
    <x v="1"/>
    <n v="15"/>
    <x v="0"/>
    <s v="Yes"/>
    <x v="0"/>
    <s v="Yes"/>
    <n v="20"/>
    <n v="3"/>
    <n v="62"/>
  </r>
  <r>
    <n v="3450"/>
    <x v="212"/>
    <x v="2"/>
    <x v="218"/>
    <x v="0"/>
    <n v="10"/>
    <x v="1"/>
    <s v="No"/>
    <x v="1"/>
    <s v="Yes"/>
    <n v="20"/>
    <n v="15"/>
    <n v="15"/>
  </r>
  <r>
    <n v="3451"/>
    <x v="213"/>
    <x v="1"/>
    <x v="219"/>
    <x v="1"/>
    <n v="5"/>
    <x v="0"/>
    <s v="No"/>
    <x v="1"/>
    <s v="No"/>
    <n v="0"/>
    <n v="1"/>
    <n v="4"/>
  </r>
  <r>
    <n v="3452"/>
    <x v="191"/>
    <x v="0"/>
    <x v="220"/>
    <x v="0"/>
    <n v="15"/>
    <x v="2"/>
    <s v="Yes"/>
    <x v="0"/>
    <s v="Yes"/>
    <n v="20"/>
    <n v="7"/>
    <n v="58"/>
  </r>
  <r>
    <n v="3453"/>
    <x v="45"/>
    <x v="2"/>
    <x v="221"/>
    <x v="1"/>
    <n v="10"/>
    <x v="0"/>
    <s v="No"/>
    <x v="1"/>
    <s v="Yes"/>
    <n v="20"/>
    <n v="10"/>
    <n v="20"/>
  </r>
  <r>
    <n v="3454"/>
    <x v="214"/>
    <x v="1"/>
    <x v="222"/>
    <x v="0"/>
    <n v="5"/>
    <x v="1"/>
    <s v="No"/>
    <x v="1"/>
    <s v="No"/>
    <n v="0"/>
    <n v="0"/>
    <n v="5"/>
  </r>
  <r>
    <n v="3455"/>
    <x v="215"/>
    <x v="0"/>
    <x v="223"/>
    <x v="1"/>
    <n v="15"/>
    <x v="0"/>
    <s v="Yes"/>
    <x v="0"/>
    <s v="Yes"/>
    <n v="20"/>
    <n v="20"/>
    <n v="45"/>
  </r>
  <r>
    <n v="3456"/>
    <x v="216"/>
    <x v="2"/>
    <x v="224"/>
    <x v="0"/>
    <n v="10"/>
    <x v="2"/>
    <s v="No"/>
    <x v="1"/>
    <s v="Yes"/>
    <n v="20"/>
    <n v="15"/>
    <n v="15"/>
  </r>
  <r>
    <n v="3457"/>
    <x v="217"/>
    <x v="1"/>
    <x v="225"/>
    <x v="1"/>
    <n v="5"/>
    <x v="0"/>
    <s v="No"/>
    <x v="1"/>
    <s v="No"/>
    <n v="0"/>
    <n v="1"/>
    <n v="4"/>
  </r>
  <r>
    <n v="3458"/>
    <x v="218"/>
    <x v="0"/>
    <x v="226"/>
    <x v="0"/>
    <n v="15"/>
    <x v="1"/>
    <s v="Yes"/>
    <x v="0"/>
    <s v="Yes"/>
    <n v="20"/>
    <n v="3"/>
    <n v="62"/>
  </r>
  <r>
    <n v="3459"/>
    <x v="219"/>
    <x v="2"/>
    <x v="227"/>
    <x v="1"/>
    <n v="10"/>
    <x v="0"/>
    <s v="No"/>
    <x v="1"/>
    <s v="Yes"/>
    <n v="20"/>
    <n v="10"/>
    <n v="20"/>
  </r>
  <r>
    <n v="3460"/>
    <x v="127"/>
    <x v="1"/>
    <x v="228"/>
    <x v="0"/>
    <n v="5"/>
    <x v="2"/>
    <s v="No"/>
    <x v="1"/>
    <s v="No"/>
    <n v="0"/>
    <n v="0"/>
    <n v="5"/>
  </r>
  <r>
    <n v="3461"/>
    <x v="220"/>
    <x v="0"/>
    <x v="229"/>
    <x v="1"/>
    <n v="15"/>
    <x v="0"/>
    <s v="Yes"/>
    <x v="0"/>
    <s v="Yes"/>
    <n v="20"/>
    <n v="15"/>
    <n v="50"/>
  </r>
  <r>
    <n v="3462"/>
    <x v="221"/>
    <x v="2"/>
    <x v="230"/>
    <x v="0"/>
    <n v="10"/>
    <x v="1"/>
    <s v="No"/>
    <x v="1"/>
    <s v="Yes"/>
    <n v="20"/>
    <n v="15"/>
    <n v="15"/>
  </r>
  <r>
    <n v="3463"/>
    <x v="222"/>
    <x v="1"/>
    <x v="231"/>
    <x v="1"/>
    <n v="5"/>
    <x v="0"/>
    <s v="No"/>
    <x v="1"/>
    <s v="No"/>
    <n v="0"/>
    <n v="1"/>
    <n v="4"/>
  </r>
  <r>
    <n v="3464"/>
    <x v="223"/>
    <x v="0"/>
    <x v="232"/>
    <x v="0"/>
    <n v="15"/>
    <x v="2"/>
    <s v="Yes"/>
    <x v="0"/>
    <s v="Yes"/>
    <n v="20"/>
    <n v="7"/>
    <n v="58"/>
  </r>
  <r>
    <n v="3465"/>
    <x v="224"/>
    <x v="2"/>
    <x v="233"/>
    <x v="1"/>
    <n v="10"/>
    <x v="0"/>
    <s v="No"/>
    <x v="1"/>
    <s v="Yes"/>
    <n v="20"/>
    <n v="10"/>
    <n v="20"/>
  </r>
  <r>
    <n v="3466"/>
    <x v="225"/>
    <x v="1"/>
    <x v="234"/>
    <x v="0"/>
    <n v="5"/>
    <x v="1"/>
    <s v="No"/>
    <x v="1"/>
    <s v="No"/>
    <n v="0"/>
    <n v="0"/>
    <n v="5"/>
  </r>
  <r>
    <n v="3467"/>
    <x v="226"/>
    <x v="0"/>
    <x v="235"/>
    <x v="1"/>
    <n v="15"/>
    <x v="0"/>
    <s v="Yes"/>
    <x v="0"/>
    <s v="Yes"/>
    <n v="20"/>
    <n v="15"/>
    <n v="50"/>
  </r>
  <r>
    <n v="3468"/>
    <x v="227"/>
    <x v="2"/>
    <x v="236"/>
    <x v="0"/>
    <n v="10"/>
    <x v="2"/>
    <s v="No"/>
    <x v="1"/>
    <s v="Yes"/>
    <n v="20"/>
    <n v="12"/>
    <n v="18"/>
  </r>
  <r>
    <n v="3469"/>
    <x v="228"/>
    <x v="1"/>
    <x v="237"/>
    <x v="1"/>
    <n v="5"/>
    <x v="0"/>
    <s v="No"/>
    <x v="1"/>
    <s v="No"/>
    <n v="0"/>
    <n v="2"/>
    <n v="3"/>
  </r>
  <r>
    <n v="3470"/>
    <x v="229"/>
    <x v="0"/>
    <x v="238"/>
    <x v="0"/>
    <n v="15"/>
    <x v="1"/>
    <s v="Yes"/>
    <x v="0"/>
    <s v="Yes"/>
    <n v="20"/>
    <n v="5"/>
    <n v="60"/>
  </r>
  <r>
    <n v="3471"/>
    <x v="230"/>
    <x v="2"/>
    <x v="239"/>
    <x v="1"/>
    <n v="10"/>
    <x v="0"/>
    <s v="No"/>
    <x v="1"/>
    <s v="Yes"/>
    <n v="20"/>
    <n v="10"/>
    <n v="20"/>
  </r>
  <r>
    <n v="3472"/>
    <x v="231"/>
    <x v="1"/>
    <x v="240"/>
    <x v="0"/>
    <n v="5"/>
    <x v="2"/>
    <s v="No"/>
    <x v="1"/>
    <s v="No"/>
    <n v="0"/>
    <n v="0"/>
    <n v="5"/>
  </r>
  <r>
    <n v="3473"/>
    <x v="140"/>
    <x v="0"/>
    <x v="241"/>
    <x v="1"/>
    <n v="15"/>
    <x v="0"/>
    <s v="Yes"/>
    <x v="0"/>
    <s v="Yes"/>
    <n v="20"/>
    <n v="3"/>
    <n v="62"/>
  </r>
  <r>
    <n v="3474"/>
    <x v="232"/>
    <x v="2"/>
    <x v="242"/>
    <x v="0"/>
    <n v="10"/>
    <x v="1"/>
    <s v="No"/>
    <x v="1"/>
    <s v="Yes"/>
    <n v="20"/>
    <n v="15"/>
    <n v="15"/>
  </r>
  <r>
    <n v="3475"/>
    <x v="233"/>
    <x v="1"/>
    <x v="243"/>
    <x v="1"/>
    <n v="5"/>
    <x v="0"/>
    <s v="No"/>
    <x v="1"/>
    <s v="No"/>
    <n v="0"/>
    <n v="1"/>
    <n v="4"/>
  </r>
  <r>
    <n v="3476"/>
    <x v="234"/>
    <x v="0"/>
    <x v="244"/>
    <x v="0"/>
    <n v="15"/>
    <x v="2"/>
    <s v="Yes"/>
    <x v="0"/>
    <s v="Yes"/>
    <n v="20"/>
    <n v="7"/>
    <n v="58"/>
  </r>
  <r>
    <n v="3477"/>
    <x v="235"/>
    <x v="2"/>
    <x v="245"/>
    <x v="1"/>
    <n v="10"/>
    <x v="0"/>
    <s v="No"/>
    <x v="1"/>
    <s v="Yes"/>
    <n v="20"/>
    <n v="10"/>
    <n v="20"/>
  </r>
  <r>
    <n v="3478"/>
    <x v="236"/>
    <x v="1"/>
    <x v="246"/>
    <x v="0"/>
    <n v="5"/>
    <x v="1"/>
    <s v="No"/>
    <x v="1"/>
    <s v="No"/>
    <n v="0"/>
    <n v="0"/>
    <n v="5"/>
  </r>
  <r>
    <n v="3479"/>
    <x v="237"/>
    <x v="0"/>
    <x v="247"/>
    <x v="1"/>
    <n v="15"/>
    <x v="0"/>
    <s v="Yes"/>
    <x v="0"/>
    <s v="Yes"/>
    <n v="20"/>
    <n v="20"/>
    <n v="45"/>
  </r>
  <r>
    <n v="3480"/>
    <x v="238"/>
    <x v="2"/>
    <x v="248"/>
    <x v="0"/>
    <n v="10"/>
    <x v="2"/>
    <s v="No"/>
    <x v="1"/>
    <s v="Yes"/>
    <n v="20"/>
    <n v="15"/>
    <n v="15"/>
  </r>
  <r>
    <n v="3481"/>
    <x v="239"/>
    <x v="1"/>
    <x v="249"/>
    <x v="1"/>
    <n v="5"/>
    <x v="0"/>
    <s v="No"/>
    <x v="1"/>
    <s v="No"/>
    <n v="0"/>
    <n v="1"/>
    <n v="4"/>
  </r>
  <r>
    <n v="3482"/>
    <x v="240"/>
    <x v="0"/>
    <x v="250"/>
    <x v="0"/>
    <n v="15"/>
    <x v="1"/>
    <s v="Yes"/>
    <x v="0"/>
    <s v="Yes"/>
    <n v="20"/>
    <n v="3"/>
    <n v="62"/>
  </r>
  <r>
    <n v="3483"/>
    <x v="241"/>
    <x v="2"/>
    <x v="251"/>
    <x v="1"/>
    <n v="10"/>
    <x v="0"/>
    <s v="No"/>
    <x v="1"/>
    <s v="Yes"/>
    <n v="20"/>
    <n v="10"/>
    <n v="20"/>
  </r>
  <r>
    <n v="3484"/>
    <x v="242"/>
    <x v="1"/>
    <x v="252"/>
    <x v="0"/>
    <n v="5"/>
    <x v="2"/>
    <s v="No"/>
    <x v="1"/>
    <s v="No"/>
    <n v="0"/>
    <n v="0"/>
    <n v="5"/>
  </r>
  <r>
    <n v="3485"/>
    <x v="243"/>
    <x v="0"/>
    <x v="253"/>
    <x v="1"/>
    <n v="15"/>
    <x v="0"/>
    <s v="Yes"/>
    <x v="0"/>
    <s v="Yes"/>
    <n v="20"/>
    <n v="15"/>
    <n v="50"/>
  </r>
  <r>
    <n v="3486"/>
    <x v="244"/>
    <x v="1"/>
    <x v="254"/>
    <x v="0"/>
    <n v="5"/>
    <x v="0"/>
    <s v="No"/>
    <x v="1"/>
    <s v="No"/>
    <n v="0"/>
    <n v="0"/>
    <n v="5"/>
  </r>
  <r>
    <n v="3487"/>
    <x v="245"/>
    <x v="0"/>
    <x v="255"/>
    <x v="1"/>
    <n v="15"/>
    <x v="2"/>
    <s v="Yes"/>
    <x v="0"/>
    <s v="Yes"/>
    <n v="20"/>
    <n v="7"/>
    <n v="58"/>
  </r>
  <r>
    <n v="3488"/>
    <x v="246"/>
    <x v="2"/>
    <x v="256"/>
    <x v="0"/>
    <n v="10"/>
    <x v="1"/>
    <s v="No"/>
    <x v="1"/>
    <s v="Yes"/>
    <n v="20"/>
    <n v="10"/>
    <n v="20"/>
  </r>
  <r>
    <n v="3489"/>
    <x v="247"/>
    <x v="1"/>
    <x v="257"/>
    <x v="1"/>
    <n v="5"/>
    <x v="2"/>
    <s v="No"/>
    <x v="1"/>
    <s v="No"/>
    <n v="0"/>
    <n v="1"/>
    <n v="4"/>
  </r>
  <r>
    <n v="3490"/>
    <x v="248"/>
    <x v="0"/>
    <x v="258"/>
    <x v="0"/>
    <n v="15"/>
    <x v="0"/>
    <s v="Yes"/>
    <x v="0"/>
    <s v="Yes"/>
    <n v="20"/>
    <n v="15"/>
    <n v="50"/>
  </r>
  <r>
    <n v="3491"/>
    <x v="249"/>
    <x v="2"/>
    <x v="259"/>
    <x v="1"/>
    <n v="10"/>
    <x v="0"/>
    <s v="No"/>
    <x v="1"/>
    <s v="Yes"/>
    <n v="20"/>
    <n v="5"/>
    <n v="25"/>
  </r>
  <r>
    <n v="3492"/>
    <x v="250"/>
    <x v="1"/>
    <x v="260"/>
    <x v="0"/>
    <n v="5"/>
    <x v="1"/>
    <s v="No"/>
    <x v="1"/>
    <s v="No"/>
    <n v="0"/>
    <n v="0"/>
    <n v="5"/>
  </r>
  <r>
    <n v="3493"/>
    <x v="251"/>
    <x v="0"/>
    <x v="261"/>
    <x v="1"/>
    <n v="15"/>
    <x v="2"/>
    <s v="Yes"/>
    <x v="0"/>
    <s v="Yes"/>
    <n v="20"/>
    <n v="20"/>
    <n v="45"/>
  </r>
  <r>
    <n v="3494"/>
    <x v="252"/>
    <x v="2"/>
    <x v="262"/>
    <x v="0"/>
    <n v="10"/>
    <x v="2"/>
    <s v="No"/>
    <x v="1"/>
    <s v="Yes"/>
    <n v="20"/>
    <n v="12"/>
    <n v="18"/>
  </r>
  <r>
    <n v="3495"/>
    <x v="253"/>
    <x v="1"/>
    <x v="263"/>
    <x v="1"/>
    <n v="5"/>
    <x v="0"/>
    <s v="No"/>
    <x v="1"/>
    <s v="No"/>
    <n v="0"/>
    <n v="2"/>
    <n v="3"/>
  </r>
  <r>
    <n v="3496"/>
    <x v="254"/>
    <x v="0"/>
    <x v="264"/>
    <x v="0"/>
    <n v="15"/>
    <x v="1"/>
    <s v="Yes"/>
    <x v="0"/>
    <s v="Yes"/>
    <n v="20"/>
    <n v="5"/>
    <n v="60"/>
  </r>
  <r>
    <n v="3497"/>
    <x v="255"/>
    <x v="2"/>
    <x v="265"/>
    <x v="1"/>
    <n v="10"/>
    <x v="0"/>
    <s v="No"/>
    <x v="1"/>
    <s v="Yes"/>
    <n v="20"/>
    <n v="10"/>
    <n v="20"/>
  </r>
  <r>
    <n v="3498"/>
    <x v="256"/>
    <x v="1"/>
    <x v="266"/>
    <x v="0"/>
    <n v="5"/>
    <x v="2"/>
    <s v="No"/>
    <x v="1"/>
    <s v="No"/>
    <n v="0"/>
    <n v="0"/>
    <n v="5"/>
  </r>
  <r>
    <n v="3499"/>
    <x v="257"/>
    <x v="0"/>
    <x v="267"/>
    <x v="1"/>
    <n v="15"/>
    <x v="0"/>
    <s v="Yes"/>
    <x v="0"/>
    <s v="Yes"/>
    <n v="20"/>
    <n v="3"/>
    <n v="62"/>
  </r>
  <r>
    <n v="3500"/>
    <x v="258"/>
    <x v="2"/>
    <x v="268"/>
    <x v="0"/>
    <n v="10"/>
    <x v="1"/>
    <s v="No"/>
    <x v="1"/>
    <s v="Yes"/>
    <n v="20"/>
    <n v="15"/>
    <n v="15"/>
  </r>
  <r>
    <n v="3501"/>
    <x v="259"/>
    <x v="1"/>
    <x v="269"/>
    <x v="1"/>
    <n v="5"/>
    <x v="0"/>
    <s v="No"/>
    <x v="1"/>
    <s v="No"/>
    <n v="0"/>
    <n v="1"/>
    <n v="4"/>
  </r>
  <r>
    <n v="3502"/>
    <x v="260"/>
    <x v="0"/>
    <x v="270"/>
    <x v="0"/>
    <n v="15"/>
    <x v="2"/>
    <s v="Yes"/>
    <x v="0"/>
    <s v="Yes"/>
    <n v="20"/>
    <n v="7"/>
    <n v="58"/>
  </r>
  <r>
    <n v="3503"/>
    <x v="119"/>
    <x v="2"/>
    <x v="271"/>
    <x v="1"/>
    <n v="10"/>
    <x v="0"/>
    <s v="No"/>
    <x v="1"/>
    <s v="Yes"/>
    <n v="20"/>
    <n v="10"/>
    <n v="20"/>
  </r>
  <r>
    <n v="3504"/>
    <x v="261"/>
    <x v="1"/>
    <x v="272"/>
    <x v="0"/>
    <n v="5"/>
    <x v="1"/>
    <s v="No"/>
    <x v="1"/>
    <s v="No"/>
    <n v="0"/>
    <n v="0"/>
    <n v="5"/>
  </r>
  <r>
    <n v="3505"/>
    <x v="262"/>
    <x v="0"/>
    <x v="273"/>
    <x v="1"/>
    <n v="15"/>
    <x v="0"/>
    <s v="Yes"/>
    <x v="0"/>
    <s v="Yes"/>
    <n v="20"/>
    <n v="20"/>
    <n v="45"/>
  </r>
  <r>
    <n v="3506"/>
    <x v="263"/>
    <x v="2"/>
    <x v="274"/>
    <x v="0"/>
    <n v="10"/>
    <x v="2"/>
    <s v="No"/>
    <x v="1"/>
    <s v="Yes"/>
    <n v="20"/>
    <n v="15"/>
    <n v="15"/>
  </r>
  <r>
    <n v="3507"/>
    <x v="264"/>
    <x v="1"/>
    <x v="275"/>
    <x v="1"/>
    <n v="5"/>
    <x v="0"/>
    <s v="No"/>
    <x v="1"/>
    <s v="No"/>
    <n v="0"/>
    <n v="1"/>
    <n v="4"/>
  </r>
  <r>
    <n v="3508"/>
    <x v="265"/>
    <x v="0"/>
    <x v="276"/>
    <x v="0"/>
    <n v="15"/>
    <x v="1"/>
    <s v="Yes"/>
    <x v="0"/>
    <s v="Yes"/>
    <n v="20"/>
    <n v="3"/>
    <n v="62"/>
  </r>
  <r>
    <n v="3509"/>
    <x v="266"/>
    <x v="2"/>
    <x v="277"/>
    <x v="1"/>
    <n v="10"/>
    <x v="0"/>
    <s v="No"/>
    <x v="1"/>
    <s v="Yes"/>
    <n v="20"/>
    <n v="10"/>
    <n v="20"/>
  </r>
  <r>
    <n v="3510"/>
    <x v="267"/>
    <x v="1"/>
    <x v="278"/>
    <x v="0"/>
    <n v="5"/>
    <x v="2"/>
    <s v="No"/>
    <x v="1"/>
    <s v="No"/>
    <n v="0"/>
    <n v="0"/>
    <n v="5"/>
  </r>
  <r>
    <n v="3511"/>
    <x v="268"/>
    <x v="0"/>
    <x v="279"/>
    <x v="1"/>
    <n v="15"/>
    <x v="0"/>
    <s v="Yes"/>
    <x v="0"/>
    <s v="Yes"/>
    <n v="20"/>
    <n v="15"/>
    <n v="50"/>
  </r>
  <r>
    <n v="3512"/>
    <x v="269"/>
    <x v="2"/>
    <x v="280"/>
    <x v="0"/>
    <n v="10"/>
    <x v="1"/>
    <s v="No"/>
    <x v="1"/>
    <s v="Yes"/>
    <n v="20"/>
    <n v="15"/>
    <n v="15"/>
  </r>
  <r>
    <n v="3513"/>
    <x v="270"/>
    <x v="1"/>
    <x v="281"/>
    <x v="1"/>
    <n v="5"/>
    <x v="0"/>
    <s v="No"/>
    <x v="1"/>
    <s v="No"/>
    <n v="0"/>
    <n v="1"/>
    <n v="4"/>
  </r>
  <r>
    <n v="3514"/>
    <x v="271"/>
    <x v="0"/>
    <x v="282"/>
    <x v="0"/>
    <n v="15"/>
    <x v="2"/>
    <s v="Yes"/>
    <x v="0"/>
    <s v="Yes"/>
    <n v="20"/>
    <n v="7"/>
    <n v="58"/>
  </r>
  <r>
    <n v="3515"/>
    <x v="130"/>
    <x v="2"/>
    <x v="283"/>
    <x v="1"/>
    <n v="10"/>
    <x v="0"/>
    <s v="No"/>
    <x v="1"/>
    <s v="Yes"/>
    <n v="20"/>
    <n v="10"/>
    <n v="20"/>
  </r>
  <r>
    <n v="3516"/>
    <x v="131"/>
    <x v="1"/>
    <x v="284"/>
    <x v="0"/>
    <n v="5"/>
    <x v="1"/>
    <s v="No"/>
    <x v="1"/>
    <s v="No"/>
    <n v="0"/>
    <n v="0"/>
    <n v="5"/>
  </r>
  <r>
    <n v="3517"/>
    <x v="181"/>
    <x v="0"/>
    <x v="285"/>
    <x v="1"/>
    <n v="15"/>
    <x v="0"/>
    <s v="Yes"/>
    <x v="0"/>
    <s v="Yes"/>
    <n v="20"/>
    <n v="20"/>
    <n v="45"/>
  </r>
  <r>
    <n v="3518"/>
    <x v="272"/>
    <x v="2"/>
    <x v="286"/>
    <x v="0"/>
    <n v="10"/>
    <x v="2"/>
    <s v="No"/>
    <x v="1"/>
    <s v="Yes"/>
    <n v="20"/>
    <n v="12"/>
    <n v="18"/>
  </r>
  <r>
    <n v="3519"/>
    <x v="273"/>
    <x v="1"/>
    <x v="287"/>
    <x v="1"/>
    <n v="5"/>
    <x v="0"/>
    <s v="No"/>
    <x v="1"/>
    <s v="No"/>
    <n v="0"/>
    <n v="2"/>
    <n v="3"/>
  </r>
  <r>
    <n v="3520"/>
    <x v="274"/>
    <x v="0"/>
    <x v="288"/>
    <x v="0"/>
    <n v="15"/>
    <x v="1"/>
    <s v="Yes"/>
    <x v="0"/>
    <s v="Yes"/>
    <n v="20"/>
    <n v="5"/>
    <n v="60"/>
  </r>
  <r>
    <n v="3521"/>
    <x v="275"/>
    <x v="2"/>
    <x v="289"/>
    <x v="1"/>
    <n v="10"/>
    <x v="0"/>
    <s v="No"/>
    <x v="1"/>
    <s v="Yes"/>
    <n v="20"/>
    <n v="10"/>
    <n v="20"/>
  </r>
  <r>
    <n v="3522"/>
    <x v="276"/>
    <x v="1"/>
    <x v="290"/>
    <x v="0"/>
    <n v="5"/>
    <x v="2"/>
    <s v="No"/>
    <x v="1"/>
    <s v="No"/>
    <n v="0"/>
    <n v="0"/>
    <n v="5"/>
  </r>
  <r>
    <n v="3523"/>
    <x v="277"/>
    <x v="0"/>
    <x v="291"/>
    <x v="1"/>
    <n v="15"/>
    <x v="0"/>
    <s v="Yes"/>
    <x v="0"/>
    <s v="Yes"/>
    <n v="20"/>
    <n v="3"/>
    <n v="62"/>
  </r>
  <r>
    <n v="3524"/>
    <x v="278"/>
    <x v="2"/>
    <x v="292"/>
    <x v="0"/>
    <n v="10"/>
    <x v="1"/>
    <s v="No"/>
    <x v="1"/>
    <s v="Yes"/>
    <n v="20"/>
    <n v="15"/>
    <n v="15"/>
  </r>
  <r>
    <n v="3525"/>
    <x v="279"/>
    <x v="1"/>
    <x v="293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70C2AB-AF92-48DC-9BD0-7442896FD861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41:C54" firstHeaderRow="1" firstDataRow="1" firstDataCol="1"/>
  <pivotFields count="15">
    <pivotField showAll="0"/>
    <pivotField showAll="0"/>
    <pivotField showAll="0"/>
    <pivotField axis="axisRow"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/>
    <pivotField showAll="0"/>
    <pivotField showAll="0"/>
    <pivotField showAll="0"/>
    <pivotField numFmtId="44" showAll="0"/>
    <pivotField numFmtId="44" showAll="0"/>
    <pivotField dataField="1" numFmtId="44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 sd="0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</pivotFields>
  <rowFields count="3">
    <field x="14"/>
    <field x="13"/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Total Value" fld="12" baseField="0" baseItem="0" numFmtId="44"/>
  </dataFields>
  <formats count="12">
    <format dxfId="95">
      <pivotArea collapsedLevelsAreSubtotals="1" fieldPosition="0">
        <references count="1">
          <reference field="14" count="1">
            <x v="1"/>
          </reference>
        </references>
      </pivotArea>
    </format>
    <format dxfId="94">
      <pivotArea collapsedLevelsAreSubtotals="1" fieldPosition="0">
        <references count="1">
          <reference field="14" count="1">
            <x v="2"/>
          </reference>
        </references>
      </pivotArea>
    </format>
    <format dxfId="93">
      <pivotArea collapsedLevelsAreSubtotals="1" fieldPosition="0">
        <references count="1">
          <reference field="14" count="1">
            <x v="3"/>
          </reference>
        </references>
      </pivotArea>
    </format>
    <format dxfId="92">
      <pivotArea collapsedLevelsAreSubtotals="1" fieldPosition="0">
        <references count="1">
          <reference field="14" count="1">
            <x v="4"/>
          </reference>
        </references>
      </pivotArea>
    </format>
    <format dxfId="91">
      <pivotArea collapsedLevelsAreSubtotals="1" fieldPosition="0">
        <references count="1">
          <reference field="14" count="1">
            <x v="5"/>
          </reference>
        </references>
      </pivotArea>
    </format>
    <format dxfId="90">
      <pivotArea collapsedLevelsAreSubtotals="1" fieldPosition="0">
        <references count="1">
          <reference field="14" count="1">
            <x v="6"/>
          </reference>
        </references>
      </pivotArea>
    </format>
    <format dxfId="89">
      <pivotArea collapsedLevelsAreSubtotals="1" fieldPosition="0">
        <references count="1">
          <reference field="14" count="1">
            <x v="7"/>
          </reference>
        </references>
      </pivotArea>
    </format>
    <format dxfId="88">
      <pivotArea collapsedLevelsAreSubtotals="1" fieldPosition="0">
        <references count="1">
          <reference field="14" count="1">
            <x v="8"/>
          </reference>
        </references>
      </pivotArea>
    </format>
    <format dxfId="87">
      <pivotArea collapsedLevelsAreSubtotals="1" fieldPosition="0">
        <references count="1">
          <reference field="14" count="1">
            <x v="9"/>
          </reference>
        </references>
      </pivotArea>
    </format>
    <format dxfId="86">
      <pivotArea collapsedLevelsAreSubtotals="1" fieldPosition="0">
        <references count="1">
          <reference field="14" count="1">
            <x v="10"/>
          </reference>
        </references>
      </pivotArea>
    </format>
    <format dxfId="85">
      <pivotArea collapsedLevelsAreSubtotals="1" fieldPosition="0">
        <references count="1">
          <reference field="14" count="1">
            <x v="11"/>
          </reference>
        </references>
      </pivotArea>
    </format>
    <format dxfId="84">
      <pivotArea collapsedLevelsAreSubtotals="1" fieldPosition="0">
        <references count="1">
          <reference field="14" count="1">
            <x v="12"/>
          </reference>
        </references>
      </pivotArea>
    </format>
  </format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11:C14" firstHeaderRow="1" firstDataRow="1" firstDataCol="1" rowPageCount="1" colPageCount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09">
  <autoFilter ref="A1:M296" xr:uid="{34E0E886-4200-4B36-97B3-63DB74FF40A0}"/>
  <tableColumns count="13">
    <tableColumn id="1" xr3:uid="{C4A90516-688A-46BF-9167-EA16C2A8A652}" name="Subscriber ID" dataDxfId="108"/>
    <tableColumn id="2" xr3:uid="{53DD39D0-2220-4121-9E9D-4EAA7E151C0F}" name="Name" dataDxfId="107"/>
    <tableColumn id="3" xr3:uid="{4F5FF271-4C57-4BE0-8F2C-F82C8551625C}" name="Plan" dataDxfId="106"/>
    <tableColumn id="4" xr3:uid="{8C17EB93-79B9-4E55-B8F7-BEB82F8253E9}" name="Start Date" dataDxfId="105"/>
    <tableColumn id="5" xr3:uid="{48CEDF9B-1689-482A-A828-5CCE7713264A}" name="Auto Renewal" dataDxfId="104"/>
    <tableColumn id="6" xr3:uid="{78B82374-9AA7-4E38-AE4F-78CDE6C83720}" name="Subscription Price" dataDxfId="103" dataCellStyle="Moeda"/>
    <tableColumn id="7" xr3:uid="{F2433F68-AF33-49D0-B1FB-19A396074EDE}" name="Subscription Type" dataDxfId="102"/>
    <tableColumn id="8" xr3:uid="{FD4D9C95-F6E5-4933-9068-A71FF7DF9343}" name="EA Play Season Pass" dataDxfId="101"/>
    <tableColumn id="13" xr3:uid="{978DD0D2-834E-4CE4-A39B-30976086932F}" name="EA Play Season Pass_x000a_Price" dataDxfId="100" dataCellStyle="Moeda"/>
    <tableColumn id="9" xr3:uid="{6E29F111-C395-4580-9DAD-3407D9E8B1A4}" name="Minecraft Season Pass" dataDxfId="99"/>
    <tableColumn id="10" xr3:uid="{EF544EAA-7F25-4FD5-A10E-8E62804DB9E3}" name="Minecraft Season Pass Price" dataDxfId="98" dataCellStyle="Moeda"/>
    <tableColumn id="11" xr3:uid="{7F6EB64A-1F07-4E48-9F0F-AC7D9DCD26F8}" name="Coupon Value" dataDxfId="97" dataCellStyle="Moeda"/>
    <tableColumn id="12" xr3:uid="{2B04ABC8-DE6F-426E-ADC0-D8AFC68CA58E}" name="Total Value" dataDxfId="96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7" sqref="B7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F2" sqref="F2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8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4.88671875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54"/>
  <sheetViews>
    <sheetView showGridLines="0" topLeftCell="A31" workbookViewId="0">
      <selection activeCell="J46" sqref="J46"/>
    </sheetView>
  </sheetViews>
  <sheetFormatPr defaultRowHeight="14.4" x14ac:dyDescent="0.3"/>
  <cols>
    <col min="2" max="2" width="16.77734375" bestFit="1" customWidth="1"/>
    <col min="3" max="3" width="17.88671875" bestFit="1" customWidth="1"/>
    <col min="4" max="4" width="34.5546875" bestFit="1" customWidth="1"/>
    <col min="5" max="5" width="12.109375" bestFit="1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3" spans="2:6" x14ac:dyDescent="0.3">
      <c r="B3" s="19" t="s">
        <v>317</v>
      </c>
      <c r="C3" s="19"/>
      <c r="D3" s="19"/>
      <c r="E3" s="19"/>
      <c r="F3" s="19"/>
    </row>
    <row r="6" spans="2:6" x14ac:dyDescent="0.3">
      <c r="B6" t="s">
        <v>318</v>
      </c>
    </row>
    <row r="7" spans="2:6" x14ac:dyDescent="0.3">
      <c r="B7" t="s">
        <v>320</v>
      </c>
    </row>
    <row r="9" spans="2:6" x14ac:dyDescent="0.3">
      <c r="B9" s="12" t="s">
        <v>16</v>
      </c>
      <c r="C9" t="s">
        <v>27</v>
      </c>
    </row>
    <row r="11" spans="2:6" x14ac:dyDescent="0.3">
      <c r="B11" s="12" t="s">
        <v>309</v>
      </c>
      <c r="C11" t="s">
        <v>319</v>
      </c>
    </row>
    <row r="12" spans="2:6" x14ac:dyDescent="0.3">
      <c r="B12" s="14" t="s">
        <v>23</v>
      </c>
      <c r="C12" s="13">
        <v>806</v>
      </c>
    </row>
    <row r="13" spans="2:6" x14ac:dyDescent="0.3">
      <c r="B13" s="14" t="s">
        <v>19</v>
      </c>
      <c r="C13" s="13">
        <v>1502</v>
      </c>
    </row>
    <row r="14" spans="2:6" x14ac:dyDescent="0.3">
      <c r="B14" s="14" t="s">
        <v>310</v>
      </c>
      <c r="C14" s="13">
        <v>2308</v>
      </c>
    </row>
    <row r="17" spans="2:5" x14ac:dyDescent="0.3">
      <c r="B17" s="14" t="s">
        <v>321</v>
      </c>
    </row>
    <row r="19" spans="2:5" x14ac:dyDescent="0.3">
      <c r="B19" s="12" t="s">
        <v>16</v>
      </c>
      <c r="C19" t="s">
        <v>27</v>
      </c>
    </row>
    <row r="21" spans="2:5" x14ac:dyDescent="0.3">
      <c r="B21" s="12" t="s">
        <v>309</v>
      </c>
      <c r="C21" t="s">
        <v>316</v>
      </c>
    </row>
    <row r="22" spans="2:5" x14ac:dyDescent="0.3">
      <c r="B22" s="14" t="s">
        <v>22</v>
      </c>
      <c r="C22" s="20">
        <v>0</v>
      </c>
    </row>
    <row r="23" spans="2:5" x14ac:dyDescent="0.3">
      <c r="B23" s="14" t="s">
        <v>26</v>
      </c>
      <c r="C23" s="20">
        <v>0</v>
      </c>
    </row>
    <row r="24" spans="2:5" x14ac:dyDescent="0.3">
      <c r="B24" s="14" t="s">
        <v>18</v>
      </c>
      <c r="C24" s="20">
        <v>990</v>
      </c>
    </row>
    <row r="25" spans="2:5" x14ac:dyDescent="0.3">
      <c r="B25" s="14" t="s">
        <v>310</v>
      </c>
      <c r="C25" s="20">
        <v>990</v>
      </c>
      <c r="E25" s="16">
        <f>GETPIVOTDATA("EA Play Season Pass
Price",$B$21)</f>
        <v>990</v>
      </c>
    </row>
    <row r="28" spans="2:5" x14ac:dyDescent="0.3">
      <c r="B28" s="14" t="s">
        <v>322</v>
      </c>
    </row>
    <row r="30" spans="2:5" x14ac:dyDescent="0.3">
      <c r="B30" s="12" t="s">
        <v>16</v>
      </c>
      <c r="C30" t="s">
        <v>27</v>
      </c>
    </row>
    <row r="32" spans="2:5" x14ac:dyDescent="0.3">
      <c r="B32" s="12" t="s">
        <v>309</v>
      </c>
      <c r="C32" t="s">
        <v>311</v>
      </c>
    </row>
    <row r="33" spans="2:5" x14ac:dyDescent="0.3">
      <c r="B33" s="14" t="s">
        <v>22</v>
      </c>
      <c r="C33" s="13">
        <v>0</v>
      </c>
    </row>
    <row r="34" spans="2:5" x14ac:dyDescent="0.3">
      <c r="B34" s="14" t="s">
        <v>26</v>
      </c>
      <c r="C34" s="13">
        <v>480</v>
      </c>
    </row>
    <row r="35" spans="2:5" x14ac:dyDescent="0.3">
      <c r="B35" s="14" t="s">
        <v>18</v>
      </c>
      <c r="C35" s="13">
        <v>660</v>
      </c>
    </row>
    <row r="36" spans="2:5" x14ac:dyDescent="0.3">
      <c r="B36" s="14" t="s">
        <v>310</v>
      </c>
      <c r="C36" s="13">
        <v>1140</v>
      </c>
      <c r="E36" s="16">
        <f>GETPIVOTDATA("Minecraft Season Pass Price",$B$32)</f>
        <v>1140</v>
      </c>
    </row>
    <row r="39" spans="2:5" x14ac:dyDescent="0.3">
      <c r="B39" s="14" t="s">
        <v>324</v>
      </c>
    </row>
    <row r="41" spans="2:5" x14ac:dyDescent="0.3">
      <c r="B41" s="12" t="s">
        <v>309</v>
      </c>
      <c r="C41" t="s">
        <v>319</v>
      </c>
    </row>
    <row r="42" spans="2:5" x14ac:dyDescent="0.3">
      <c r="B42" s="14" t="s">
        <v>325</v>
      </c>
      <c r="C42" s="21">
        <v>65</v>
      </c>
    </row>
    <row r="43" spans="2:5" x14ac:dyDescent="0.3">
      <c r="B43" s="14" t="s">
        <v>326</v>
      </c>
      <c r="C43" s="21">
        <v>82</v>
      </c>
    </row>
    <row r="44" spans="2:5" x14ac:dyDescent="0.3">
      <c r="B44" s="14" t="s">
        <v>327</v>
      </c>
      <c r="C44" s="21">
        <v>801</v>
      </c>
    </row>
    <row r="45" spans="2:5" x14ac:dyDescent="0.3">
      <c r="B45" s="14" t="s">
        <v>328</v>
      </c>
      <c r="C45" s="21">
        <v>782</v>
      </c>
    </row>
    <row r="46" spans="2:5" x14ac:dyDescent="0.3">
      <c r="B46" s="14" t="s">
        <v>329</v>
      </c>
      <c r="C46" s="21">
        <v>777</v>
      </c>
    </row>
    <row r="47" spans="2:5" x14ac:dyDescent="0.3">
      <c r="B47" s="14" t="s">
        <v>330</v>
      </c>
      <c r="C47" s="21">
        <v>770</v>
      </c>
    </row>
    <row r="48" spans="2:5" x14ac:dyDescent="0.3">
      <c r="B48" s="14" t="s">
        <v>331</v>
      </c>
      <c r="C48" s="21">
        <v>784</v>
      </c>
    </row>
    <row r="49" spans="2:3" x14ac:dyDescent="0.3">
      <c r="B49" s="14" t="s">
        <v>332</v>
      </c>
      <c r="C49" s="21">
        <v>787</v>
      </c>
    </row>
    <row r="50" spans="2:3" x14ac:dyDescent="0.3">
      <c r="B50" s="14" t="s">
        <v>333</v>
      </c>
      <c r="C50" s="21">
        <v>780</v>
      </c>
    </row>
    <row r="51" spans="2:3" x14ac:dyDescent="0.3">
      <c r="B51" s="14" t="s">
        <v>334</v>
      </c>
      <c r="C51" s="21">
        <v>832</v>
      </c>
    </row>
    <row r="52" spans="2:3" x14ac:dyDescent="0.3">
      <c r="B52" s="14" t="s">
        <v>335</v>
      </c>
      <c r="C52" s="21">
        <v>784</v>
      </c>
    </row>
    <row r="53" spans="2:3" x14ac:dyDescent="0.3">
      <c r="B53" s="14" t="s">
        <v>336</v>
      </c>
      <c r="C53" s="21">
        <v>389</v>
      </c>
    </row>
    <row r="54" spans="2:3" x14ac:dyDescent="0.3">
      <c r="B54" s="14" t="s">
        <v>310</v>
      </c>
      <c r="C54" s="13">
        <v>7633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topLeftCell="A31" zoomScaleNormal="100" workbookViewId="0">
      <selection activeCell="R35" sqref="R35"/>
    </sheetView>
  </sheetViews>
  <sheetFormatPr defaultRowHeight="14.4" x14ac:dyDescent="0.3"/>
  <cols>
    <col min="1" max="1" width="27.44140625" style="4" customWidth="1"/>
    <col min="2" max="2" width="3.5546875" customWidth="1"/>
    <col min="12" max="12" width="6.5546875" customWidth="1"/>
  </cols>
  <sheetData>
    <row r="2" spans="1:19" ht="27.75" customHeight="1" thickBot="1" x14ac:dyDescent="0.6">
      <c r="C2" s="18" t="s">
        <v>323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7"/>
    </row>
    <row r="3" spans="1:19" ht="19.5" customHeight="1" thickTop="1" x14ac:dyDescent="0.3"/>
    <row r="4" spans="1:19" s="7" customFormat="1" ht="8.25" customHeight="1" x14ac:dyDescent="0.3">
      <c r="A4" s="4"/>
    </row>
    <row r="5" spans="1:19" s="7" customFormat="1" ht="7.5" customHeight="1" x14ac:dyDescent="0.3">
      <c r="A5" s="4"/>
    </row>
    <row r="6" spans="1:19" s="7" customFormat="1" ht="10.5" customHeight="1" x14ac:dyDescent="0.3">
      <c r="A6" s="4"/>
    </row>
    <row r="7" spans="1:19" s="7" customFormat="1" ht="9.75" customHeight="1" x14ac:dyDescent="0.3">
      <c r="A7" s="4"/>
    </row>
    <row r="8" spans="1:19" s="7" customFormat="1" ht="11.25" customHeight="1" x14ac:dyDescent="0.3">
      <c r="A8" s="4"/>
    </row>
    <row r="9" spans="1:19" s="7" customFormat="1" x14ac:dyDescent="0.3">
      <c r="A9" s="4"/>
    </row>
    <row r="10" spans="1:19" s="7" customFormat="1" x14ac:dyDescent="0.3">
      <c r="A10" s="4"/>
    </row>
    <row r="11" spans="1:19" s="7" customFormat="1" ht="14.25" customHeight="1" x14ac:dyDescent="0.3">
      <c r="A11" s="4"/>
    </row>
    <row r="12" spans="1:19" s="7" customFormat="1" x14ac:dyDescent="0.3">
      <c r="A12" s="4"/>
    </row>
    <row r="13" spans="1:19" s="7" customFormat="1" x14ac:dyDescent="0.3">
      <c r="A13" s="4"/>
    </row>
    <row r="14" spans="1:19" s="7" customFormat="1" x14ac:dyDescent="0.3">
      <c r="A14" s="4"/>
    </row>
    <row r="15" spans="1:19" s="7" customFormat="1" x14ac:dyDescent="0.3">
      <c r="A15" s="4"/>
    </row>
    <row r="16" spans="1:19" s="7" customFormat="1" x14ac:dyDescent="0.3">
      <c r="A16" s="4"/>
    </row>
    <row r="17" spans="1:1" s="7" customFormat="1" x14ac:dyDescent="0.3">
      <c r="A17" s="4"/>
    </row>
    <row r="18" spans="1:1" s="7" customFormat="1" x14ac:dyDescent="0.3">
      <c r="A18" s="4"/>
    </row>
    <row r="19" spans="1:1" s="7" customFormat="1" x14ac:dyDescent="0.3">
      <c r="A19" s="4"/>
    </row>
    <row r="20" spans="1:1" s="7" customFormat="1" x14ac:dyDescent="0.3">
      <c r="A20" s="4"/>
    </row>
    <row r="21" spans="1:1" s="7" customFormat="1" x14ac:dyDescent="0.3">
      <c r="A21" s="4"/>
    </row>
    <row r="22" spans="1:1" s="7" customFormat="1" x14ac:dyDescent="0.3">
      <c r="A22" s="4"/>
    </row>
    <row r="23" spans="1:1" s="7" customFormat="1" x14ac:dyDescent="0.3">
      <c r="A23" s="4"/>
    </row>
    <row r="24" spans="1:1" s="7" customFormat="1" x14ac:dyDescent="0.3">
      <c r="A24" s="4"/>
    </row>
    <row r="25" spans="1:1" s="7" customFormat="1" x14ac:dyDescent="0.3">
      <c r="A25" s="4"/>
    </row>
    <row r="26" spans="1:1" s="7" customFormat="1" x14ac:dyDescent="0.3">
      <c r="A26" s="4"/>
    </row>
    <row r="27" spans="1:1" s="7" customFormat="1" x14ac:dyDescent="0.3">
      <c r="A27" s="4"/>
    </row>
    <row r="28" spans="1:1" s="7" customFormat="1" x14ac:dyDescent="0.3">
      <c r="A28" s="4"/>
    </row>
    <row r="29" spans="1:1" s="7" customFormat="1" x14ac:dyDescent="0.3">
      <c r="A29" s="4"/>
    </row>
    <row r="30" spans="1:1" s="7" customFormat="1" x14ac:dyDescent="0.3">
      <c r="A30" s="4"/>
    </row>
    <row r="31" spans="1:1" s="7" customFormat="1" x14ac:dyDescent="0.3">
      <c r="A31" s="4"/>
    </row>
    <row r="32" spans="1:1" s="7" customFormat="1" x14ac:dyDescent="0.3">
      <c r="A32" s="4"/>
    </row>
    <row r="33" spans="1:1" s="7" customFormat="1" x14ac:dyDescent="0.3">
      <c r="A33" s="4"/>
    </row>
    <row r="34" spans="1:1" s="7" customFormat="1" x14ac:dyDescent="0.3">
      <c r="A34" s="4"/>
    </row>
    <row r="35" spans="1:1" s="7" customFormat="1" x14ac:dyDescent="0.3">
      <c r="A35" s="4"/>
    </row>
    <row r="36" spans="1:1" s="7" customFormat="1" x14ac:dyDescent="0.3">
      <c r="A36" s="4"/>
    </row>
    <row r="37" spans="1:1" s="7" customFormat="1" x14ac:dyDescent="0.3">
      <c r="A37" s="4"/>
    </row>
    <row r="38" spans="1:1" s="7" customFormat="1" x14ac:dyDescent="0.3">
      <c r="A38" s="4"/>
    </row>
    <row r="39" spans="1:1" s="7" customFormat="1" x14ac:dyDescent="0.3">
      <c r="A39" s="4"/>
    </row>
    <row r="40" spans="1:1" s="7" customFormat="1" x14ac:dyDescent="0.3">
      <c r="A40" s="4"/>
    </row>
    <row r="41" spans="1:1" s="7" customFormat="1" x14ac:dyDescent="0.3">
      <c r="A41" s="4"/>
    </row>
    <row r="42" spans="1:1" s="7" customFormat="1" x14ac:dyDescent="0.3">
      <c r="A42" s="4"/>
    </row>
    <row r="43" spans="1:1" s="7" customFormat="1" x14ac:dyDescent="0.3">
      <c r="A43" s="4"/>
    </row>
    <row r="44" spans="1:1" s="7" customFormat="1" x14ac:dyDescent="0.3">
      <c r="A44" s="4"/>
    </row>
    <row r="45" spans="1:1" s="7" customFormat="1" x14ac:dyDescent="0.3">
      <c r="A45" s="4"/>
    </row>
    <row r="46" spans="1:1" s="7" customFormat="1" x14ac:dyDescent="0.3">
      <c r="A46" s="4"/>
    </row>
    <row r="47" spans="1:1" s="7" customFormat="1" x14ac:dyDescent="0.3">
      <c r="A47" s="4"/>
    </row>
    <row r="48" spans="1:1" s="7" customFormat="1" x14ac:dyDescent="0.3">
      <c r="A48" s="4"/>
    </row>
    <row r="49" spans="1:1" s="7" customFormat="1" x14ac:dyDescent="0.3">
      <c r="A49" s="4"/>
    </row>
    <row r="50" spans="1:1" s="7" customFormat="1" x14ac:dyDescent="0.3">
      <c r="A50" s="4"/>
    </row>
    <row r="51" spans="1:1" s="7" customFormat="1" x14ac:dyDescent="0.3">
      <c r="A51" s="4"/>
    </row>
    <row r="52" spans="1:1" s="7" customFormat="1" x14ac:dyDescent="0.3">
      <c r="A52" s="4"/>
    </row>
    <row r="53" spans="1:1" s="7" customFormat="1" x14ac:dyDescent="0.3">
      <c r="A53" s="4"/>
    </row>
    <row r="54" spans="1:1" s="7" customFormat="1" x14ac:dyDescent="0.3">
      <c r="A54" s="4"/>
    </row>
    <row r="55" spans="1:1" s="7" customFormat="1" x14ac:dyDescent="0.3">
      <c r="A55" s="4"/>
    </row>
    <row r="56" spans="1:1" s="7" customFormat="1" x14ac:dyDescent="0.3">
      <c r="A56" s="4"/>
    </row>
    <row r="57" spans="1:1" s="7" customFormat="1" x14ac:dyDescent="0.3">
      <c r="A57" s="4"/>
    </row>
    <row r="58" spans="1:1" s="7" customFormat="1" x14ac:dyDescent="0.3">
      <c r="A58" s="4"/>
    </row>
    <row r="59" spans="1:1" s="7" customFormat="1" x14ac:dyDescent="0.3">
      <c r="A59" s="4"/>
    </row>
    <row r="60" spans="1:1" s="7" customFormat="1" x14ac:dyDescent="0.3">
      <c r="A60" s="4"/>
    </row>
    <row r="61" spans="1:1" s="7" customFormat="1" x14ac:dyDescent="0.3">
      <c r="A61" s="4"/>
    </row>
    <row r="62" spans="1:1" s="7" customFormat="1" x14ac:dyDescent="0.3">
      <c r="A62" s="4"/>
    </row>
    <row r="63" spans="1:1" s="7" customFormat="1" x14ac:dyDescent="0.3">
      <c r="A63" s="4"/>
    </row>
    <row r="64" spans="1:1" s="7" customFormat="1" x14ac:dyDescent="0.3">
      <c r="A64" s="4"/>
    </row>
    <row r="65" spans="1:1" s="7" customFormat="1" x14ac:dyDescent="0.3">
      <c r="A65" s="4"/>
    </row>
    <row r="66" spans="1:1" s="7" customFormat="1" x14ac:dyDescent="0.3">
      <c r="A66" s="4"/>
    </row>
    <row r="67" spans="1:1" s="7" customFormat="1" x14ac:dyDescent="0.3">
      <c r="A67" s="4"/>
    </row>
    <row r="68" spans="1:1" s="7" customFormat="1" x14ac:dyDescent="0.3">
      <c r="A68" s="4"/>
    </row>
    <row r="69" spans="1:1" s="7" customFormat="1" x14ac:dyDescent="0.3">
      <c r="A69" s="4"/>
    </row>
    <row r="70" spans="1:1" s="7" customFormat="1" x14ac:dyDescent="0.3">
      <c r="A70" s="4"/>
    </row>
    <row r="71" spans="1:1" s="7" customFormat="1" x14ac:dyDescent="0.3">
      <c r="A71" s="4"/>
    </row>
    <row r="72" spans="1:1" s="7" customFormat="1" x14ac:dyDescent="0.3">
      <c r="A72" s="4"/>
    </row>
    <row r="73" spans="1:1" s="7" customFormat="1" x14ac:dyDescent="0.3">
      <c r="A73" s="4"/>
    </row>
    <row r="74" spans="1:1" s="7" customFormat="1" x14ac:dyDescent="0.3">
      <c r="A74" s="4"/>
    </row>
    <row r="75" spans="1:1" s="7" customFormat="1" x14ac:dyDescent="0.3">
      <c r="A75" s="4"/>
    </row>
    <row r="76" spans="1:1" s="7" customFormat="1" x14ac:dyDescent="0.3">
      <c r="A76" s="4"/>
    </row>
    <row r="77" spans="1:1" s="7" customFormat="1" x14ac:dyDescent="0.3">
      <c r="A77" s="4"/>
    </row>
    <row r="78" spans="1:1" s="7" customFormat="1" x14ac:dyDescent="0.3">
      <c r="A78" s="4"/>
    </row>
    <row r="79" spans="1:1" s="7" customFormat="1" x14ac:dyDescent="0.3">
      <c r="A79" s="4"/>
    </row>
    <row r="80" spans="1:1" s="7" customFormat="1" x14ac:dyDescent="0.3">
      <c r="A80" s="4"/>
    </row>
    <row r="81" spans="1:1" s="7" customFormat="1" x14ac:dyDescent="0.3">
      <c r="A81" s="4"/>
    </row>
    <row r="82" spans="1:1" s="7" customFormat="1" x14ac:dyDescent="0.3">
      <c r="A82" s="4"/>
    </row>
    <row r="83" spans="1:1" s="7" customFormat="1" x14ac:dyDescent="0.3">
      <c r="A83" s="4"/>
    </row>
    <row r="84" spans="1:1" s="7" customFormat="1" x14ac:dyDescent="0.3">
      <c r="A84" s="4"/>
    </row>
    <row r="85" spans="1:1" s="7" customFormat="1" x14ac:dyDescent="0.3">
      <c r="A85" s="4"/>
    </row>
    <row r="86" spans="1:1" s="7" customFormat="1" x14ac:dyDescent="0.3">
      <c r="A86" s="4"/>
    </row>
    <row r="87" spans="1:1" s="7" customFormat="1" x14ac:dyDescent="0.3">
      <c r="A87" s="4"/>
    </row>
    <row r="88" spans="1:1" s="7" customFormat="1" x14ac:dyDescent="0.3">
      <c r="A88" s="4"/>
    </row>
    <row r="89" spans="1:1" s="7" customFormat="1" x14ac:dyDescent="0.3">
      <c r="A89" s="4"/>
    </row>
    <row r="90" spans="1:1" s="7" customFormat="1" x14ac:dyDescent="0.3">
      <c r="A90" s="4"/>
    </row>
    <row r="91" spans="1:1" s="7" customFormat="1" x14ac:dyDescent="0.3">
      <c r="A91" s="4"/>
    </row>
    <row r="92" spans="1:1" s="7" customFormat="1" x14ac:dyDescent="0.3">
      <c r="A92" s="4"/>
    </row>
    <row r="93" spans="1:1" s="7" customFormat="1" x14ac:dyDescent="0.3">
      <c r="A93" s="4"/>
    </row>
    <row r="94" spans="1:1" s="7" customFormat="1" x14ac:dyDescent="0.3">
      <c r="A94" s="4"/>
    </row>
    <row r="95" spans="1:1" s="7" customFormat="1" x14ac:dyDescent="0.3">
      <c r="A95" s="4"/>
    </row>
    <row r="96" spans="1:1" s="7" customFormat="1" x14ac:dyDescent="0.3">
      <c r="A96" s="4"/>
    </row>
    <row r="97" spans="1:1" s="7" customFormat="1" x14ac:dyDescent="0.3">
      <c r="A97" s="4"/>
    </row>
    <row r="98" spans="1:1" s="7" customFormat="1" x14ac:dyDescent="0.3">
      <c r="A98" s="4"/>
    </row>
    <row r="99" spans="1:1" s="7" customFormat="1" x14ac:dyDescent="0.3">
      <c r="A99" s="4"/>
    </row>
    <row r="100" spans="1:1" s="7" customFormat="1" x14ac:dyDescent="0.3">
      <c r="A100" s="4"/>
    </row>
    <row r="101" spans="1:1" s="7" customFormat="1" x14ac:dyDescent="0.3">
      <c r="A101" s="4"/>
    </row>
    <row r="102" spans="1:1" s="7" customFormat="1" x14ac:dyDescent="0.3">
      <c r="A102" s="4"/>
    </row>
    <row r="103" spans="1:1" s="7" customFormat="1" x14ac:dyDescent="0.3">
      <c r="A103" s="4"/>
    </row>
    <row r="104" spans="1:1" s="7" customFormat="1" x14ac:dyDescent="0.3">
      <c r="A104" s="4"/>
    </row>
    <row r="105" spans="1:1" s="7" customFormat="1" x14ac:dyDescent="0.3">
      <c r="A105" s="4"/>
    </row>
    <row r="106" spans="1:1" s="7" customFormat="1" x14ac:dyDescent="0.3">
      <c r="A106" s="4"/>
    </row>
    <row r="107" spans="1:1" s="7" customFormat="1" x14ac:dyDescent="0.3">
      <c r="A107" s="4"/>
    </row>
    <row r="108" spans="1:1" s="7" customFormat="1" x14ac:dyDescent="0.3">
      <c r="A108" s="4"/>
    </row>
    <row r="109" spans="1:1" s="7" customFormat="1" x14ac:dyDescent="0.3">
      <c r="A109" s="4"/>
    </row>
    <row r="110" spans="1:1" s="7" customFormat="1" x14ac:dyDescent="0.3">
      <c r="A110" s="4"/>
    </row>
    <row r="111" spans="1:1" s="7" customFormat="1" x14ac:dyDescent="0.3">
      <c r="A111" s="4"/>
    </row>
    <row r="112" spans="1:1" s="7" customFormat="1" x14ac:dyDescent="0.3">
      <c r="A112" s="4"/>
    </row>
    <row r="113" spans="1:1" s="7" customFormat="1" x14ac:dyDescent="0.3">
      <c r="A113" s="4"/>
    </row>
    <row r="114" spans="1:1" s="7" customFormat="1" x14ac:dyDescent="0.3">
      <c r="A114" s="4"/>
    </row>
    <row r="115" spans="1:1" s="7" customFormat="1" x14ac:dyDescent="0.3">
      <c r="A115" s="4"/>
    </row>
    <row r="116" spans="1:1" s="7" customFormat="1" x14ac:dyDescent="0.3">
      <c r="A116" s="4"/>
    </row>
    <row r="117" spans="1:1" s="7" customFormat="1" x14ac:dyDescent="0.3">
      <c r="A117" s="4"/>
    </row>
    <row r="118" spans="1:1" s="7" customFormat="1" x14ac:dyDescent="0.3">
      <c r="A118" s="4"/>
    </row>
    <row r="119" spans="1:1" s="7" customFormat="1" x14ac:dyDescent="0.3">
      <c r="A119" s="4"/>
    </row>
    <row r="120" spans="1:1" s="7" customFormat="1" x14ac:dyDescent="0.3">
      <c r="A120" s="4"/>
    </row>
    <row r="121" spans="1:1" s="7" customFormat="1" x14ac:dyDescent="0.3">
      <c r="A121" s="4"/>
    </row>
    <row r="122" spans="1:1" s="7" customFormat="1" x14ac:dyDescent="0.3">
      <c r="A122" s="4"/>
    </row>
    <row r="123" spans="1:1" s="7" customFormat="1" x14ac:dyDescent="0.3">
      <c r="A123" s="4"/>
    </row>
    <row r="124" spans="1:1" s="7" customFormat="1" x14ac:dyDescent="0.3">
      <c r="A124" s="4"/>
    </row>
    <row r="125" spans="1:1" s="7" customFormat="1" x14ac:dyDescent="0.3">
      <c r="A125" s="4"/>
    </row>
    <row r="126" spans="1:1" s="7" customFormat="1" x14ac:dyDescent="0.3">
      <c r="A126" s="4"/>
    </row>
    <row r="127" spans="1:1" s="7" customFormat="1" x14ac:dyDescent="0.3">
      <c r="A127" s="4"/>
    </row>
    <row r="128" spans="1:1" s="7" customFormat="1" x14ac:dyDescent="0.3">
      <c r="A128" s="4"/>
    </row>
    <row r="129" spans="1:1" s="7" customFormat="1" x14ac:dyDescent="0.3">
      <c r="A129" s="4"/>
    </row>
    <row r="130" spans="1:1" s="7" customFormat="1" x14ac:dyDescent="0.3">
      <c r="A130" s="4"/>
    </row>
    <row r="131" spans="1:1" s="7" customFormat="1" x14ac:dyDescent="0.3">
      <c r="A131" s="4"/>
    </row>
    <row r="132" spans="1:1" s="7" customFormat="1" x14ac:dyDescent="0.3">
      <c r="A132" s="4"/>
    </row>
    <row r="133" spans="1:1" s="7" customFormat="1" x14ac:dyDescent="0.3">
      <c r="A133" s="4"/>
    </row>
    <row r="134" spans="1:1" s="7" customFormat="1" x14ac:dyDescent="0.3">
      <c r="A134" s="4"/>
    </row>
    <row r="135" spans="1:1" s="7" customFormat="1" x14ac:dyDescent="0.3">
      <c r="A135" s="4"/>
    </row>
    <row r="136" spans="1:1" s="7" customFormat="1" x14ac:dyDescent="0.3">
      <c r="A136" s="4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9037E4-A6E4-45D3-B93A-3D2B6A0C2B33}">
  <ds:schemaRefs>
    <ds:schemaRef ds:uri="http://schemas.microsoft.com/office/2006/documentManagement/types"/>
    <ds:schemaRef ds:uri="851b35d3-0456-4d6a-bc2f-da927e91d158"/>
    <ds:schemaRef ds:uri="19483571-f922-4e8e-9c1c-26f0a2252132"/>
    <ds:schemaRef ds:uri="http://schemas.microsoft.com/office/infopath/2007/PartnerControls"/>
    <ds:schemaRef ds:uri="http://purl.org/dc/elements/1.1/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Carla Andrade</cp:lastModifiedBy>
  <cp:lastPrinted>2026-04-21T23:04:53Z</cp:lastPrinted>
  <dcterms:created xsi:type="dcterms:W3CDTF">2024-12-19T13:13:10Z</dcterms:created>
  <dcterms:modified xsi:type="dcterms:W3CDTF">2026-04-21T23:05:39Z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